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filterPrivacy="1" codeName="ThisWorkbook"/>
  <xr:revisionPtr revIDLastSave="0" documentId="8_{72D51023-03B1-4BC9-BBDB-5D5D8D42EA95}" xr6:coauthVersionLast="47" xr6:coauthVersionMax="47" xr10:uidLastSave="{00000000-0000-0000-0000-000000000000}"/>
  <bookViews>
    <workbookView xWindow="-120" yWindow="-120" windowWidth="29040" windowHeight="17640" activeTab="2" xr2:uid="{7D38B46B-79DC-4C75-90FB-FDA42BA529B8}"/>
  </bookViews>
  <sheets>
    <sheet name="PRIORIZACION" sheetId="5" r:id="rId1"/>
    <sheet name="DISTRIBUCION" sheetId="6" r:id="rId2"/>
    <sheet name="ESTIMAC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4" l="1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6" i="4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N61" i="6"/>
  <c r="M61" i="6"/>
  <c r="L61" i="6"/>
  <c r="K61" i="6"/>
  <c r="J61" i="6"/>
  <c r="I61" i="6"/>
  <c r="H61" i="6"/>
  <c r="G61" i="6"/>
  <c r="E61" i="6"/>
  <c r="D61" i="6"/>
  <c r="N39" i="6"/>
  <c r="M39" i="6"/>
  <c r="L39" i="6"/>
  <c r="K39" i="6"/>
  <c r="J39" i="6"/>
  <c r="I39" i="6"/>
  <c r="G39" i="6"/>
  <c r="E39" i="6"/>
  <c r="D39" i="6"/>
  <c r="H39" i="6"/>
  <c r="E6" i="6"/>
  <c r="E5" i="6"/>
  <c r="D61" i="4"/>
  <c r="E61" i="4"/>
  <c r="G61" i="4"/>
  <c r="H61" i="4"/>
  <c r="I61" i="4"/>
  <c r="J61" i="4"/>
  <c r="K61" i="4"/>
  <c r="L61" i="4"/>
  <c r="M61" i="4"/>
  <c r="N61" i="4"/>
  <c r="D39" i="4"/>
  <c r="E39" i="4"/>
  <c r="G39" i="4"/>
  <c r="H39" i="4"/>
  <c r="I39" i="4"/>
  <c r="J39" i="4"/>
  <c r="K39" i="4"/>
  <c r="L39" i="4"/>
  <c r="M39" i="4"/>
  <c r="N39" i="4"/>
  <c r="E6" i="4" l="1"/>
  <c r="E5" i="4"/>
</calcChain>
</file>

<file path=xl/sharedStrings.xml><?xml version="1.0" encoding="utf-8"?>
<sst xmlns="http://schemas.openxmlformats.org/spreadsheetml/2006/main" count="233" uniqueCount="124">
  <si>
    <t>PRIORIZACIÓN</t>
  </si>
  <si>
    <t>Historia de Usuario</t>
  </si>
  <si>
    <t>Urgencia (1-5)</t>
  </si>
  <si>
    <t>Impacto (1-10)</t>
  </si>
  <si>
    <t>Esfuerzo (1-5)</t>
  </si>
  <si>
    <t>Prioridad (U*I/E)</t>
  </si>
  <si>
    <t>Como paciente - Quiero registrarme en la app - Para acceder a los servicios de salud.</t>
  </si>
  <si>
    <t>Como paciente - Quiero iniciar sesion en mi cuenta - Para saber mis servicios medicos</t>
  </si>
  <si>
    <t>Como paciente - Quiero actualizar mis datos personales - Para mantener información correcta sobre mi salud.</t>
  </si>
  <si>
    <t>Como paciente - Quiero agendar una cita médica - Para verificar mi salud.</t>
  </si>
  <si>
    <t>Como paciente - Quiero saber la disponibilidad de médicos - Para elegir un horario bueno para mi.</t>
  </si>
  <si>
    <t>Como paciente - Quiero cancelar o reprogramar una cita - Para así no perderla.</t>
  </si>
  <si>
    <t>Como paciente - Quiero ver mi historial clínico - Para conocer todos mis tratamientos.</t>
  </si>
  <si>
    <t>Como paciente - Quiero notificaciones de mis citas - Para no olvidarme de ellas.</t>
  </si>
  <si>
    <t>Como paciente - Quiero conocer mis formulas medicas digitales - Para saber que medicamentos tomar.</t>
  </si>
  <si>
    <t>Como paciente - Quiero telemedicina - Para no tener que ir a la clínica.</t>
  </si>
  <si>
    <t xml:space="preserve">Como paciente- Quiero activar un botón de emergencia, para alertar a contactos y servicios de socorro con mi ubicación en segundos. </t>
  </si>
  <si>
    <t xml:space="preserve">Como paciente- Quiero que mi información médica básica sea visible en emergencias, para que el personal me atienda correctamente sin perder tiempo. </t>
  </si>
  <si>
    <t>Como médico - Quiero ver mi agenda de citas programadas - Para organizarme en mi jornada</t>
  </si>
  <si>
    <t>Como médico - Quiero el historial clínico del paciente - Para darle un mejor tratamiento.</t>
  </si>
  <si>
    <t>Como médico - Quiero registrar los diagnósticos en el sistema - Para mantener el historial clínico del paciente actualizado.</t>
  </si>
  <si>
    <t>Como médico - Quiero hacer incapacidades médicas - Para notificar la ausencia laboral o escolar del paciente.</t>
  </si>
  <si>
    <t>Como sistema - Quiero enviar notificaciones automáticas de citas - Para recordarles a los pacientes.</t>
  </si>
  <si>
    <t>Como sistema - Quiero almacenar los datos de los pacientes de forma segura - Para proteger su información.</t>
  </si>
  <si>
    <t>Como sistema - Quiero mandar formulas medicas - Para que los pacientes recuerden sus medicamentos.</t>
  </si>
  <si>
    <t>Como sistema - Quiero monitorear quién accede a los historiales clínicos y en qué momento - Para garantizar la confidencialidad de los datos.</t>
  </si>
  <si>
    <t xml:space="preserve">Como administrativo, quiero revisar y aprobar solicitudes de medicamentos para autorizar su entrega en las farmacias. </t>
  </si>
  <si>
    <t xml:space="preserve">Como administrativo, quiero consultar el estado de los trámites de los usuarios para dar seguimiento y actualizar la información del sistema. </t>
  </si>
  <si>
    <t xml:space="preserve">Como administrativo, quiero registrar nuevas clínicas o centros de salud en el sistema para que los usuarios puedan ver las opciones cercanas. </t>
  </si>
  <si>
    <t>DISTRIBUCIÓN</t>
  </si>
  <si>
    <t>Planning Poker</t>
  </si>
  <si>
    <t>Escala usada (Esfuerzo)</t>
  </si>
  <si>
    <t>13+</t>
  </si>
  <si>
    <t>(7/Abril/2026)-(21/Abril/2026)</t>
  </si>
  <si>
    <t>Columna1</t>
  </si>
  <si>
    <t>Tiempo sp 1</t>
  </si>
  <si>
    <t>Mar</t>
  </si>
  <si>
    <t>(22/Abril/2026)-(06/Mayo/2026)</t>
  </si>
  <si>
    <t>Tiempo sp2</t>
  </si>
  <si>
    <t>(07/Mayo/2026)-(21/Mayo/2026)</t>
  </si>
  <si>
    <t>Tiempo sp3</t>
  </si>
  <si>
    <t>Ago</t>
  </si>
  <si>
    <t>Sep</t>
  </si>
  <si>
    <t>Oct</t>
  </si>
  <si>
    <t>Nov</t>
  </si>
  <si>
    <t>Dic</t>
  </si>
  <si>
    <t>Ene</t>
  </si>
  <si>
    <t>Feb</t>
  </si>
  <si>
    <t>Split 1</t>
  </si>
  <si>
    <t>Split 2</t>
  </si>
  <si>
    <t>Split 3</t>
  </si>
  <si>
    <t>HU1</t>
  </si>
  <si>
    <t>3 h 0 min</t>
  </si>
  <si>
    <t>3 h 42 min</t>
  </si>
  <si>
    <t>HU8</t>
  </si>
  <si>
    <t>HU6</t>
  </si>
  <si>
    <t>4 h 30 min</t>
  </si>
  <si>
    <t>HU2</t>
  </si>
  <si>
    <t>HU14</t>
  </si>
  <si>
    <t>HU18</t>
  </si>
  <si>
    <t>5 h 0 min</t>
  </si>
  <si>
    <t>HU5</t>
  </si>
  <si>
    <t>3 h 30 min</t>
  </si>
  <si>
    <t>HU15</t>
  </si>
  <si>
    <t>HU3</t>
  </si>
  <si>
    <t>HU7</t>
  </si>
  <si>
    <t>4 h 18 min</t>
  </si>
  <si>
    <t>3 h 48 min</t>
  </si>
  <si>
    <t>HU20</t>
  </si>
  <si>
    <t>HU9</t>
  </si>
  <si>
    <t>HU13</t>
  </si>
  <si>
    <t>2 h 18 min</t>
  </si>
  <si>
    <t>HU22</t>
  </si>
  <si>
    <t>HU10</t>
  </si>
  <si>
    <t>HU16</t>
  </si>
  <si>
    <t>2 h 48 min</t>
  </si>
  <si>
    <t>HU11</t>
  </si>
  <si>
    <t>24 h 30 min</t>
  </si>
  <si>
    <t>HU19</t>
  </si>
  <si>
    <t>4 h 12 min</t>
  </si>
  <si>
    <t>HU12</t>
  </si>
  <si>
    <t>HU21</t>
  </si>
  <si>
    <t>2 h 42 min</t>
  </si>
  <si>
    <t>HU23</t>
  </si>
  <si>
    <t>HU4</t>
  </si>
  <si>
    <t>4 h 36 min</t>
  </si>
  <si>
    <t>3 h 18 min</t>
  </si>
  <si>
    <t>HU17</t>
  </si>
  <si>
    <t>TRI</t>
  </si>
  <si>
    <t>Total: 35 horas y 48 minutos</t>
  </si>
  <si>
    <t>Total: 35 h 48 min</t>
  </si>
  <si>
    <t>32 h 30 min</t>
  </si>
  <si>
    <t>Total</t>
  </si>
  <si>
    <t>GASTOS</t>
  </si>
  <si>
    <t>Elemento</t>
  </si>
  <si>
    <t>Abr</t>
  </si>
  <si>
    <t>May</t>
  </si>
  <si>
    <t>Jun</t>
  </si>
  <si>
    <t>Jul</t>
  </si>
  <si>
    <t>Ene2</t>
  </si>
  <si>
    <t>Niños</t>
  </si>
  <si>
    <t>Deuda</t>
  </si>
  <si>
    <t>Restaurantes</t>
  </si>
  <si>
    <t>Educación</t>
  </si>
  <si>
    <t>Entretenimiento</t>
  </si>
  <si>
    <t>Alimentos</t>
  </si>
  <si>
    <t>Regalos</t>
  </si>
  <si>
    <t>Salud</t>
  </si>
  <si>
    <t>Casa</t>
  </si>
  <si>
    <t>Seguro</t>
  </si>
  <si>
    <t>Mascotas</t>
  </si>
  <si>
    <t>Compras</t>
  </si>
  <si>
    <t>Tecnología</t>
  </si>
  <si>
    <t>Transporte</t>
  </si>
  <si>
    <t>Viajes</t>
  </si>
  <si>
    <t>Servicios públicos</t>
  </si>
  <si>
    <t>Otros</t>
  </si>
  <si>
    <t>ESTIMACIÓN PP</t>
  </si>
  <si>
    <t>HU</t>
  </si>
  <si>
    <t>Desarrolador (Juan José Bolívar)</t>
  </si>
  <si>
    <t>Desarrolador 2 (Miley Carrera</t>
  </si>
  <si>
    <t>Desarrollador 3 (Hanna Valencia</t>
  </si>
  <si>
    <t>Promedio PP</t>
  </si>
  <si>
    <t>esfuerzo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</si>
</sst>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* #,##0\ &quot;€&quot;_-;\-* #,##0\ &quot;€&quot;_-;_-* &quot;-&quot;\ &quot;€&quot;_-;_-@_-"/>
    <numFmt numFmtId="164" formatCode="_(* #,##0_);_(* \(#,##0\);_(* &quot;-&quot;_);_(@_)"/>
    <numFmt numFmtId="165" formatCode="_(* #,##0.00_);_(* \(#,##0.00\);_(* &quot;-&quot;??_);_(@_)"/>
    <numFmt numFmtId="166" formatCode="#,##0.00\ &quot;€&quot;"/>
    <numFmt numFmtId="167" formatCode="#,##0\ &quot;€&quot;"/>
  </numFmts>
  <fonts count="45">
    <font>
      <sz val="11"/>
      <color theme="1"/>
      <name val="Century Gothic"/>
      <family val="2"/>
      <scheme val="minor"/>
    </font>
    <font>
      <sz val="11"/>
      <color theme="1"/>
      <name val="Aptos"/>
      <family val="2"/>
    </font>
    <font>
      <sz val="10"/>
      <color theme="1" tint="4.9989318521683403E-2"/>
      <name val="Century Gothic"/>
      <family val="1"/>
      <scheme val="minor"/>
    </font>
    <font>
      <sz val="11"/>
      <color theme="1" tint="4.9989318521683403E-2"/>
      <name val="Aptos"/>
      <family val="2"/>
    </font>
    <font>
      <b/>
      <sz val="11"/>
      <color theme="0"/>
      <name val="Century Gothic"/>
      <family val="1"/>
      <scheme val="major"/>
    </font>
    <font>
      <sz val="11"/>
      <name val="Century Gothic"/>
      <family val="2"/>
      <scheme val="minor"/>
    </font>
    <font>
      <b/>
      <sz val="14"/>
      <color theme="1" tint="4.9989318521683403E-2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32"/>
      <color theme="0"/>
      <name val="Century Gothic"/>
      <family val="1"/>
      <scheme val="major"/>
    </font>
    <font>
      <sz val="11"/>
      <color theme="1"/>
      <name val="Century Gothic"/>
      <family val="1"/>
      <scheme val="minor"/>
    </font>
    <font>
      <sz val="32"/>
      <color theme="1"/>
      <name val="Century Gothic"/>
      <family val="1"/>
      <scheme val="minor"/>
    </font>
    <font>
      <b/>
      <sz val="14"/>
      <color theme="1"/>
      <name val="Century Gothic"/>
      <family val="1"/>
      <scheme val="minor"/>
    </font>
    <font>
      <sz val="14"/>
      <color theme="1"/>
      <name val="Century Gothic"/>
      <family val="1"/>
      <scheme val="minor"/>
    </font>
    <font>
      <b/>
      <sz val="24"/>
      <color theme="1"/>
      <name val="Century Gothic"/>
      <family val="1"/>
      <scheme val="minor"/>
    </font>
    <font>
      <b/>
      <sz val="36"/>
      <color theme="1"/>
      <name val="Century Gothic"/>
      <family val="1"/>
      <scheme val="major"/>
    </font>
    <font>
      <b/>
      <sz val="16"/>
      <color theme="1"/>
      <name val="Century Gothic"/>
      <family val="1"/>
      <scheme val="major"/>
    </font>
    <font>
      <b/>
      <sz val="24"/>
      <color theme="1"/>
      <name val="Century Gothic"/>
      <family val="1"/>
      <scheme val="major"/>
    </font>
    <font>
      <sz val="14"/>
      <color theme="1"/>
      <name val="Century Gothic"/>
      <family val="1"/>
      <scheme val="maj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1"/>
      <name val="Century Gothic"/>
      <family val="1"/>
      <scheme val="minor"/>
    </font>
    <font>
      <sz val="22"/>
      <color theme="1"/>
      <name val="Calibri"/>
      <family val="2"/>
      <charset val="1"/>
    </font>
    <font>
      <sz val="22"/>
      <color rgb="FF000000"/>
      <name val="Aptos Narrow"/>
      <family val="2"/>
    </font>
    <font>
      <sz val="22"/>
      <color theme="1"/>
      <name val="Century Gothic"/>
      <family val="1"/>
      <scheme val="minor"/>
    </font>
    <font>
      <b/>
      <sz val="22"/>
      <color rgb="FF000000"/>
      <name val="Aptos Narrow"/>
      <family val="2"/>
    </font>
    <font>
      <sz val="22"/>
      <color theme="1"/>
      <name val="Century Gothic"/>
      <family val="2"/>
      <scheme val="minor"/>
    </font>
    <font>
      <b/>
      <sz val="22"/>
      <color rgb="FF000000"/>
      <name val="Calibri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theme="7"/>
      </bottom>
      <diagonal/>
    </border>
    <border>
      <left/>
      <right/>
      <top style="dashed">
        <color theme="7"/>
      </top>
      <bottom style="dashed">
        <color theme="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66" fontId="2" fillId="0" borderId="0" applyFont="0" applyFill="0" applyBorder="0" applyProtection="0">
      <alignment horizontal="right" vertical="center" indent="1"/>
    </xf>
    <xf numFmtId="0" fontId="1" fillId="0" borderId="0"/>
    <xf numFmtId="0" fontId="3" fillId="0" borderId="0">
      <alignment horizontal="left" vertical="center" wrapText="1" indent="1"/>
    </xf>
    <xf numFmtId="0" fontId="4" fillId="3" borderId="1" applyNumberFormat="0" applyProtection="0">
      <alignment horizontal="center" vertical="center"/>
    </xf>
    <xf numFmtId="0" fontId="5" fillId="0" borderId="3" applyNumberFormat="0" applyFont="0" applyAlignment="0" applyProtection="0"/>
    <xf numFmtId="0" fontId="4" fillId="3" borderId="0" applyNumberFormat="0" applyBorder="0" applyProtection="0">
      <alignment horizontal="left" vertical="center" indent="1"/>
    </xf>
    <xf numFmtId="9" fontId="6" fillId="0" borderId="0" applyFont="0" applyFill="0" applyBorder="0" applyProtection="0">
      <alignment horizontal="center" vertical="center"/>
    </xf>
    <xf numFmtId="0" fontId="7" fillId="0" borderId="0" applyNumberFormat="0" applyFill="0" applyBorder="0" applyAlignment="0">
      <alignment horizontal="left" vertical="center" wrapText="1" indent="1"/>
    </xf>
    <xf numFmtId="0" fontId="8" fillId="2" borderId="4" applyNumberFormat="0" applyProtection="0">
      <alignment horizontal="left" vertical="center" indent="3"/>
    </xf>
    <xf numFmtId="0" fontId="4" fillId="5" borderId="2" applyNumberFormat="0" applyProtection="0">
      <alignment horizontal="center" vertical="center"/>
    </xf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9" borderId="9" applyNumberFormat="0" applyAlignment="0" applyProtection="0"/>
    <xf numFmtId="0" fontId="26" fillId="10" borderId="10" applyNumberFormat="0" applyAlignment="0" applyProtection="0"/>
    <xf numFmtId="0" fontId="27" fillId="10" borderId="9" applyNumberFormat="0" applyAlignment="0" applyProtection="0"/>
    <xf numFmtId="0" fontId="28" fillId="0" borderId="11" applyNumberFormat="0" applyFill="0" applyAlignment="0" applyProtection="0"/>
    <xf numFmtId="0" fontId="29" fillId="11" borderId="12" applyNumberFormat="0" applyAlignment="0" applyProtection="0"/>
    <xf numFmtId="0" fontId="30" fillId="0" borderId="0" applyNumberFormat="0" applyFill="0" applyBorder="0" applyAlignment="0" applyProtection="0"/>
    <xf numFmtId="0" fontId="18" fillId="12" borderId="13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3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</cellStyleXfs>
  <cellXfs count="55">
    <xf numFmtId="0" fontId="0" fillId="0" borderId="0" xfId="0"/>
    <xf numFmtId="0" fontId="9" fillId="0" borderId="0" xfId="3" applyFont="1">
      <alignment horizontal="left" vertical="center" wrapText="1" indent="1"/>
    </xf>
    <xf numFmtId="0" fontId="10" fillId="0" borderId="7" xfId="9" applyFont="1" applyFill="1" applyBorder="1">
      <alignment horizontal="left" vertical="center" indent="3"/>
    </xf>
    <xf numFmtId="0" fontId="10" fillId="0" borderId="0" xfId="9" applyFont="1" applyFill="1" applyBorder="1" applyAlignment="1">
      <alignment horizontal="left" vertical="center" indent="1"/>
    </xf>
    <xf numFmtId="0" fontId="10" fillId="0" borderId="0" xfId="9" applyFont="1" applyFill="1" applyBorder="1">
      <alignment horizontal="left" vertical="center" indent="3"/>
    </xf>
    <xf numFmtId="0" fontId="10" fillId="0" borderId="4" xfId="9" applyFont="1" applyFill="1">
      <alignment horizontal="left" vertical="center" indent="3"/>
    </xf>
    <xf numFmtId="0" fontId="11" fillId="4" borderId="0" xfId="4" applyFont="1" applyFill="1" applyBorder="1" applyAlignment="1">
      <alignment horizontal="right" vertical="center" indent="1"/>
    </xf>
    <xf numFmtId="0" fontId="9" fillId="0" borderId="0" xfId="3" applyFont="1" applyAlignment="1">
      <alignment horizontal="right" vertical="center" wrapText="1" indent="1"/>
    </xf>
    <xf numFmtId="0" fontId="13" fillId="0" borderId="0" xfId="10" applyFont="1" applyFill="1" applyBorder="1" applyAlignment="1">
      <alignment vertical="center"/>
    </xf>
    <xf numFmtId="0" fontId="12" fillId="0" borderId="0" xfId="3" applyFo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4" fillId="0" borderId="7" xfId="10" applyFont="1" applyFill="1" applyBorder="1" applyAlignment="1">
      <alignment horizontal="left" vertical="center"/>
    </xf>
    <xf numFmtId="0" fontId="15" fillId="4" borderId="0" xfId="4" applyFont="1" applyFill="1" applyBorder="1" applyAlignment="1">
      <alignment horizontal="left" vertical="center" indent="1"/>
    </xf>
    <xf numFmtId="0" fontId="16" fillId="0" borderId="0" xfId="10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 indent="1"/>
    </xf>
    <xf numFmtId="0" fontId="17" fillId="0" borderId="0" xfId="3" applyFont="1">
      <alignment horizontal="left" vertical="center" wrapText="1" indent="1"/>
    </xf>
    <xf numFmtId="167" fontId="12" fillId="0" borderId="5" xfId="1" applyNumberFormat="1" applyFont="1" applyBorder="1">
      <alignment horizontal="right" vertical="center" indent="1"/>
    </xf>
    <xf numFmtId="167" fontId="12" fillId="0" borderId="6" xfId="1" applyNumberFormat="1" applyFont="1" applyBorder="1">
      <alignment horizontal="right" vertical="center" indent="1"/>
    </xf>
    <xf numFmtId="167" fontId="12" fillId="0" borderId="0" xfId="1" applyNumberFormat="1" applyFont="1" applyFill="1" applyBorder="1" applyAlignment="1">
      <alignment horizontal="left" vertical="center" indent="1"/>
    </xf>
    <xf numFmtId="167" fontId="12" fillId="0" borderId="0" xfId="3" applyNumberFormat="1" applyFont="1">
      <alignment horizontal="left" vertical="center" wrapText="1" indent="1"/>
    </xf>
    <xf numFmtId="167" fontId="12" fillId="0" borderId="0" xfId="0" applyNumberFormat="1" applyFont="1" applyAlignment="1">
      <alignment horizontal="left" vertical="center" indent="1"/>
    </xf>
    <xf numFmtId="167" fontId="12" fillId="0" borderId="0" xfId="1" applyNumberFormat="1" applyFont="1" applyFill="1" applyAlignment="1">
      <alignment horizontal="left" vertical="center" indent="1"/>
    </xf>
    <xf numFmtId="167" fontId="12" fillId="0" borderId="0" xfId="1" applyNumberFormat="1" applyFont="1" applyBorder="1">
      <alignment horizontal="right" vertical="center" indent="1"/>
    </xf>
    <xf numFmtId="167" fontId="12" fillId="0" borderId="0" xfId="3" applyNumberFormat="1" applyFont="1" applyAlignment="1">
      <alignment horizontal="left" vertical="center" wrapText="1" indent="1"/>
    </xf>
    <xf numFmtId="2" fontId="9" fillId="0" borderId="0" xfId="3" applyNumberFormat="1" applyFont="1">
      <alignment horizontal="left" vertical="center" wrapText="1" indent="1"/>
    </xf>
    <xf numFmtId="2" fontId="10" fillId="0" borderId="7" xfId="9" applyNumberFormat="1" applyFont="1" applyFill="1" applyBorder="1">
      <alignment horizontal="left" vertical="center" indent="3"/>
    </xf>
    <xf numFmtId="2" fontId="10" fillId="0" borderId="4" xfId="9" applyNumberFormat="1" applyFont="1" applyFill="1">
      <alignment horizontal="left" vertical="center" indent="3"/>
    </xf>
    <xf numFmtId="2" fontId="13" fillId="0" borderId="0" xfId="10" applyNumberFormat="1" applyFont="1" applyFill="1" applyBorder="1" applyAlignment="1">
      <alignment vertical="center"/>
    </xf>
    <xf numFmtId="2" fontId="17" fillId="0" borderId="0" xfId="3" applyNumberFormat="1" applyFont="1">
      <alignment horizontal="left" vertical="center" wrapText="1" indent="1"/>
    </xf>
    <xf numFmtId="2" fontId="12" fillId="0" borderId="0" xfId="3" applyNumberFormat="1" applyFont="1">
      <alignment horizontal="left" vertical="center" wrapText="1" indent="1"/>
    </xf>
    <xf numFmtId="2" fontId="12" fillId="0" borderId="0" xfId="0" applyNumberFormat="1" applyFont="1" applyAlignment="1">
      <alignment horizontal="left" vertical="center" indent="1"/>
    </xf>
    <xf numFmtId="0" fontId="34" fillId="0" borderId="0" xfId="0" applyFont="1"/>
    <xf numFmtId="2" fontId="35" fillId="0" borderId="0" xfId="3" applyNumberFormat="1" applyFont="1">
      <alignment horizontal="left" vertical="center" wrapText="1" indent="1"/>
    </xf>
    <xf numFmtId="2" fontId="35" fillId="0" borderId="0" xfId="3" applyNumberFormat="1" applyFont="1" applyAlignment="1">
      <alignment horizontal="left" vertical="center" wrapText="1" indent="1"/>
    </xf>
    <xf numFmtId="0" fontId="35" fillId="0" borderId="5" xfId="3" applyFont="1" applyBorder="1" applyAlignment="1">
      <alignment horizontal="left" vertical="center" indent="1"/>
    </xf>
    <xf numFmtId="167" fontId="35" fillId="0" borderId="5" xfId="1" applyNumberFormat="1" applyFont="1" applyBorder="1">
      <alignment horizontal="right" vertical="center" indent="1"/>
    </xf>
    <xf numFmtId="2" fontId="35" fillId="0" borderId="6" xfId="5" applyNumberFormat="1" applyFont="1" applyBorder="1" applyAlignment="1">
      <alignment horizontal="left" vertical="center" indent="1"/>
    </xf>
    <xf numFmtId="167" fontId="35" fillId="0" borderId="6" xfId="1" applyNumberFormat="1" applyFont="1" applyBorder="1">
      <alignment horizontal="right" vertical="center" indent="1"/>
    </xf>
    <xf numFmtId="0" fontId="35" fillId="0" borderId="6" xfId="5" applyFont="1" applyBorder="1" applyAlignment="1">
      <alignment horizontal="left" vertical="center" indent="1"/>
    </xf>
    <xf numFmtId="0" fontId="9" fillId="36" borderId="0" xfId="3" applyFont="1" applyFill="1">
      <alignment horizontal="left" vertical="center" wrapText="1" indent="1"/>
    </xf>
    <xf numFmtId="167" fontId="12" fillId="36" borderId="0" xfId="3" applyNumberFormat="1" applyFont="1" applyFill="1">
      <alignment horizontal="left" vertical="center" wrapText="1" indent="1"/>
    </xf>
    <xf numFmtId="167" fontId="12" fillId="36" borderId="0" xfId="1" applyNumberFormat="1" applyFont="1" applyFill="1" applyBorder="1" applyAlignment="1">
      <alignment horizontal="left" vertical="center" indent="1"/>
    </xf>
    <xf numFmtId="167" fontId="12" fillId="37" borderId="0" xfId="3" applyNumberFormat="1" applyFont="1" applyFill="1">
      <alignment horizontal="left" vertical="center" wrapText="1" indent="1"/>
    </xf>
    <xf numFmtId="0" fontId="36" fillId="37" borderId="0" xfId="0" applyFont="1" applyFill="1"/>
    <xf numFmtId="0" fontId="37" fillId="0" borderId="0" xfId="0" applyFont="1"/>
    <xf numFmtId="2" fontId="38" fillId="0" borderId="0" xfId="3" applyNumberFormat="1" applyFont="1" applyAlignment="1">
      <alignment horizontal="left" vertical="center" wrapText="1" indent="1"/>
    </xf>
    <xf numFmtId="0" fontId="39" fillId="0" borderId="0" xfId="0" applyFont="1"/>
    <xf numFmtId="0" fontId="40" fillId="0" borderId="0" xfId="0" applyFont="1"/>
    <xf numFmtId="0" fontId="36" fillId="0" borderId="0" xfId="0" applyFont="1"/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right"/>
    </xf>
    <xf numFmtId="0" fontId="43" fillId="0" borderId="0" xfId="0" applyFont="1" applyAlignment="1">
      <alignment horizontal="right"/>
    </xf>
    <xf numFmtId="0" fontId="44" fillId="0" borderId="0" xfId="0" applyFont="1"/>
  </cellXfs>
  <cellStyles count="55">
    <cellStyle name="20% - Énfasis1" xfId="32" builtinId="30" customBuiltin="1"/>
    <cellStyle name="20% - Énfasis2" xfId="36" builtinId="34" customBuiltin="1"/>
    <cellStyle name="20% - Énfasis3" xfId="40" builtinId="38" customBuiltin="1"/>
    <cellStyle name="20% - Énfasis4" xfId="44" builtinId="42" customBuiltin="1"/>
    <cellStyle name="20% - Énfasis5" xfId="48" builtinId="46" customBuiltin="1"/>
    <cellStyle name="20% - Énfasis6" xfId="52" builtinId="50" customBuiltin="1"/>
    <cellStyle name="40% - Énfasis1" xfId="33" builtinId="31" customBuiltin="1"/>
    <cellStyle name="40% - Énfasis2" xfId="37" builtinId="35" customBuiltin="1"/>
    <cellStyle name="40% - Énfasis3" xfId="41" builtinId="39" customBuiltin="1"/>
    <cellStyle name="40% - Énfasis4" xfId="45" builtinId="43" customBuiltin="1"/>
    <cellStyle name="40% - Énfasis5" xfId="49" builtinId="47" customBuiltin="1"/>
    <cellStyle name="40% - Énfasis6" xfId="53" builtinId="51" customBuiltin="1"/>
    <cellStyle name="60% - Énfasis1" xfId="34" builtinId="32" customBuiltin="1"/>
    <cellStyle name="60% - Énfasis2" xfId="38" builtinId="36" customBuiltin="1"/>
    <cellStyle name="60% - Énfasis3" xfId="42" builtinId="40" customBuiltin="1"/>
    <cellStyle name="60% - Énfasis4" xfId="46" builtinId="44" customBuiltin="1"/>
    <cellStyle name="60% - Énfasis5" xfId="50" builtinId="48" customBuiltin="1"/>
    <cellStyle name="60% - Énfasis6" xfId="54" builtinId="52" customBuiltin="1"/>
    <cellStyle name="Año" xfId="8" xr:uid="{70FE7F4B-5F3C-4EED-AB00-97350410151F}"/>
    <cellStyle name="Bueno" xfId="19" builtinId="26" customBuiltin="1"/>
    <cellStyle name="Cálculo" xfId="24" builtinId="22" customBuiltin="1"/>
    <cellStyle name="Celda de comprobación" xfId="26" builtinId="23" customBuiltin="1"/>
    <cellStyle name="Celda vinculada" xfId="25" builtinId="24" customBuiltin="1"/>
    <cellStyle name="Encabezado 1" xfId="16" builtinId="16" customBuiltin="1"/>
    <cellStyle name="Encabezado 1 2" xfId="10" xr:uid="{8ED66FA4-0558-4280-9ADC-CA3D98E3673C}"/>
    <cellStyle name="Encabezado 2 2" xfId="4" xr:uid="{130502FE-157F-4C98-87F1-F1CEC9E21556}"/>
    <cellStyle name="Encabezado 4" xfId="18" builtinId="19" customBuiltin="1"/>
    <cellStyle name="Énfasis1" xfId="31" builtinId="29" customBuiltin="1"/>
    <cellStyle name="Énfasis2" xfId="35" builtinId="33" customBuiltin="1"/>
    <cellStyle name="Énfasis3" xfId="39" builtinId="37" customBuiltin="1"/>
    <cellStyle name="Énfasis4" xfId="43" builtinId="41" customBuiltin="1"/>
    <cellStyle name="Énfasis5" xfId="47" builtinId="45" customBuiltin="1"/>
    <cellStyle name="Énfasis6" xfId="51" builtinId="49" customBuiltin="1"/>
    <cellStyle name="Entrada" xfId="22" builtinId="20" customBuiltin="1"/>
    <cellStyle name="Entrada 2" xfId="5" xr:uid="{167663E0-32C9-41AD-B3F2-4BAC0D47360A}"/>
    <cellStyle name="Incorrecto" xfId="20" builtinId="27" customBuiltin="1"/>
    <cellStyle name="Millares" xfId="11" builtinId="3" customBuiltin="1"/>
    <cellStyle name="Millares [0]" xfId="12" builtinId="6" customBuiltin="1"/>
    <cellStyle name="Moneda" xfId="1" builtinId="4" customBuiltin="1"/>
    <cellStyle name="Moneda [0]" xfId="13" builtinId="7" customBuiltin="1"/>
    <cellStyle name="Neutral" xfId="21" builtinId="28" customBuiltin="1"/>
    <cellStyle name="Normal" xfId="0" builtinId="0" customBuiltin="1"/>
    <cellStyle name="Normal 2" xfId="2" xr:uid="{80AEA5B2-4EA1-4F77-8CC7-676B84430FAC}"/>
    <cellStyle name="Normal 3" xfId="3" xr:uid="{B6C690DE-886E-4414-BA66-5D34479AE147}"/>
    <cellStyle name="Notas" xfId="28" builtinId="10" customBuiltin="1"/>
    <cellStyle name="Porcentaje" xfId="14" builtinId="5" customBuiltin="1"/>
    <cellStyle name="Porcentaje 2" xfId="7" xr:uid="{409772FD-5152-49DC-BE94-4AA51155E5FD}"/>
    <cellStyle name="Salida" xfId="23" builtinId="21" customBuiltin="1"/>
    <cellStyle name="Texto de advertencia" xfId="27" builtinId="11" customBuiltin="1"/>
    <cellStyle name="Texto explicativo" xfId="29" builtinId="53" customBuiltin="1"/>
    <cellStyle name="Título" xfId="15" builtinId="15" customBuiltin="1"/>
    <cellStyle name="Título 2" xfId="9" builtinId="17" customBuiltin="1"/>
    <cellStyle name="Título 3" xfId="17" builtinId="18" customBuiltin="1"/>
    <cellStyle name="Título 3 2" xfId="6" xr:uid="{934215B1-91EB-43F3-A808-1BA0C30B13F5}"/>
    <cellStyle name="Total" xfId="30" builtinId="25" customBuiltin="1"/>
  </cellStyles>
  <dxfs count="142"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2" formatCode="0.00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2" formatCode="0.00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2" formatCode="0.00"/>
      <alignment horizontal="left" vertical="center" textRotation="0" indent="1" justifyLastLine="0" shrinkToFit="0" readingOrder="0"/>
    </dxf>
    <dxf>
      <numFmt numFmtId="2" formatCode="0.0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2" formatCode="0.00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2" formatCode="0.00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20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indexed="65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2" formatCode="0.00"/>
      <alignment horizontal="left" vertical="center" textRotation="0" indent="1" justifyLastLine="0" shrinkToFit="0" readingOrder="0"/>
    </dxf>
    <dxf>
      <numFmt numFmtId="2" formatCode="0.0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numFmt numFmtId="167" formatCode="#,##0\ &quot;€&quot;"/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  <alignment horizontal="left" vertical="center" textRotation="0" wrapText="1" indent="1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Century Gothic"/>
        <family val="1"/>
        <scheme val="major"/>
      </font>
      <fill>
        <patternFill patternType="solid">
          <fgColor indexed="64"/>
          <bgColor theme="5" tint="0.39994506668294322"/>
        </patternFill>
      </fill>
    </dxf>
    <dxf>
      <fill>
        <patternFill patternType="none">
          <bgColor auto="1"/>
        </patternFill>
      </fill>
      <border>
        <top style="dotted">
          <color theme="5"/>
        </top>
        <bottom style="dotted">
          <color theme="5"/>
        </bottom>
        <horizontal style="dotted">
          <color theme="5"/>
        </horizontal>
      </border>
    </dxf>
    <dxf>
      <font>
        <color theme="0" tint="-4.9989318521683403E-2"/>
      </font>
      <fill>
        <patternFill>
          <bgColor theme="4" tint="0.79998168889431442"/>
        </patternFill>
      </fill>
      <border>
        <top/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  <dxf>
      <fill>
        <patternFill>
          <bgColor theme="0" tint="-4.9989318521683403E-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  <border>
        <top/>
        <bottom style="thick">
          <color theme="4"/>
        </bottom>
        <vertical style="thin">
          <color theme="4" tint="0.59996337778862885"/>
        </vertical>
      </border>
    </dxf>
    <dxf>
      <font>
        <b/>
        <i val="0"/>
        <color theme="1"/>
      </font>
      <fill>
        <patternFill>
          <bgColor theme="4" tint="0.7999816888943144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 style="thin">
          <color theme="4" tint="0.59996337778862885"/>
        </vertical>
        <horizontal/>
      </border>
    </dxf>
    <dxf>
      <border>
        <left/>
        <bottom style="medium">
          <color theme="4"/>
        </bottom>
        <vertical style="thin">
          <color theme="4" tint="0.79998168889431442"/>
        </vertical>
      </border>
    </dxf>
  </dxfs>
  <tableStyles count="2" defaultTableStyle="TableStyleMedium2" defaultPivotStyle="PivotStyleLight16">
    <tableStyle name="Presupuesto mensual simple 2" pivot="0" count="4" xr9:uid="{07D6F1CB-291C-4348-A9AA-C12AE219BD54}">
      <tableStyleElement type="wholeTable" dxfId="141"/>
      <tableStyleElement type="headerRow" dxfId="140"/>
      <tableStyleElement type="totalRow" dxfId="139"/>
      <tableStyleElement type="firstRowStripe" dxfId="138"/>
    </tableStyle>
    <tableStyle name="Presupuesto mensual simple 2 2" pivot="0" count="4" xr9:uid="{A06A75A4-D40E-4AE5-970F-04AA37E2341A}">
      <tableStyleElement type="wholeTable" dxfId="137"/>
      <tableStyleElement type="headerRow" dxfId="136"/>
      <tableStyleElement type="totalRow" dxfId="135"/>
      <tableStyleElement type="firstRowStripe" dxfId="1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Ingresos y gastos por mes</a:t>
            </a:r>
          </a:p>
        </c:rich>
      </c:tx>
      <c:layout>
        <c:manualLayout>
          <c:xMode val="edge"/>
          <c:yMode val="edge"/>
          <c:x val="0.36195678665166853"/>
          <c:y val="0.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entury Gothic"/>
              <a:ea typeface="Century Gothic"/>
              <a:cs typeface="Century Gothic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DISTRIBUCION!$B$14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DISTRIBUCION!$C$15:$M$15</c:f>
              <c:strCache>
                <c:ptCount val="5"/>
                <c:pt idx="0">
                  <c:v>Tiempo sp 1</c:v>
                </c:pt>
                <c:pt idx="1">
                  <c:v>(22/Abril/2026)-(06/Mayo/2026)</c:v>
                </c:pt>
                <c:pt idx="2">
                  <c:v>Tiempo sp2</c:v>
                </c:pt>
                <c:pt idx="3">
                  <c:v>(07/Mayo/2026)-(21/Mayo/2026)</c:v>
                </c:pt>
                <c:pt idx="4">
                  <c:v>Tiempo sp3</c:v>
                </c:pt>
              </c:strCache>
            </c:strRef>
          </c:cat>
          <c:val>
            <c:numRef>
              <c:f>DISTRIBUCION!$C$39:$M$39</c:f>
            </c:numRef>
          </c:val>
          <c:extLst>
            <c:ext xmlns:c16="http://schemas.microsoft.com/office/drawing/2014/chart" uri="{C3380CC4-5D6E-409C-BE32-E72D297353CC}">
              <c16:uniqueId val="{00000000-CFE6-41B1-9310-C607DF48F27B}"/>
            </c:ext>
          </c:extLst>
        </c:ser>
        <c:ser>
          <c:idx val="1"/>
          <c:order val="1"/>
          <c:tx>
            <c:strRef>
              <c:f>DISTRIBUCION!$B$42</c:f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DISTRIBUCION!$C$15:$M$15</c:f>
              <c:strCache>
                <c:ptCount val="5"/>
                <c:pt idx="0">
                  <c:v>Tiempo sp 1</c:v>
                </c:pt>
                <c:pt idx="1">
                  <c:v>(22/Abril/2026)-(06/Mayo/2026)</c:v>
                </c:pt>
                <c:pt idx="2">
                  <c:v>Tiempo sp2</c:v>
                </c:pt>
                <c:pt idx="3">
                  <c:v>(07/Mayo/2026)-(21/Mayo/2026)</c:v>
                </c:pt>
                <c:pt idx="4">
                  <c:v>Tiempo sp3</c:v>
                </c:pt>
              </c:strCache>
            </c:strRef>
          </c:cat>
          <c:val>
            <c:numRef>
              <c:f>DISTRIBUCION!$C$61:$M$61</c:f>
            </c:numRef>
          </c:val>
          <c:extLst>
            <c:ext xmlns:c16="http://schemas.microsoft.com/office/drawing/2014/chart" uri="{C3380CC4-5D6E-409C-BE32-E72D297353CC}">
              <c16:uniqueId val="{00000001-CFE6-41B1-9310-C607DF48F2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124757727"/>
        <c:axId val="1132187055"/>
      </c:barChart>
      <c:catAx>
        <c:axId val="112475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2187055"/>
        <c:crosses val="autoZero"/>
        <c:auto val="1"/>
        <c:lblAlgn val="ctr"/>
        <c:lblOffset val="100"/>
        <c:noMultiLvlLbl val="0"/>
      </c:catAx>
      <c:valAx>
        <c:axId val="11321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75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entury Gothic"/>
              <a:ea typeface="Century Gothic"/>
              <a:cs typeface="Century Gothic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  <a:latin typeface="+mn-lt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Gastos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Century Gothic"/>
              <a:ea typeface="Century Gothic"/>
              <a:cs typeface="Century Gothic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DISTRIBUCION!$O$43</c:f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DISTRIBUCION!$B$44:$B$61</c:f>
            </c:strRef>
          </c:cat>
          <c:val>
            <c:numRef>
              <c:f>DISTRIBUCION!$O$44:$O$61</c:f>
            </c:numRef>
          </c:val>
          <c:extLst>
            <c:ext xmlns:c16="http://schemas.microsoft.com/office/drawing/2014/chart" uri="{C3380CC4-5D6E-409C-BE32-E72D297353CC}">
              <c16:uniqueId val="{00000000-0D7E-4C49-B7DD-0EC48425C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081865903"/>
        <c:axId val="1109733487"/>
      </c:barChart>
      <c:catAx>
        <c:axId val="10818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733487"/>
        <c:crosses val="autoZero"/>
        <c:auto val="1"/>
        <c:lblAlgn val="ctr"/>
        <c:lblOffset val="100"/>
        <c:noMultiLvlLbl val="0"/>
      </c:catAx>
      <c:valAx>
        <c:axId val="11097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186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Ingresos y gastos por mes</a:t>
            </a:r>
          </a:p>
        </c:rich>
      </c:tx>
      <c:layout>
        <c:manualLayout>
          <c:xMode val="edge"/>
          <c:yMode val="edge"/>
          <c:x val="0.36195678665166853"/>
          <c:y val="0.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entury Gothic"/>
              <a:ea typeface="Century Gothic"/>
              <a:cs typeface="Century Gothic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ESTIMACION!$B$14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ESTIMACION!$C$15:$M$15</c:f>
              <c:strCache>
                <c:ptCount val="6"/>
                <c:pt idx="0">
                  <c:v>Desarrolador (Juan José Bolívar)</c:v>
                </c:pt>
                <c:pt idx="1">
                  <c:v>Mar</c:v>
                </c:pt>
                <c:pt idx="2">
                  <c:v>Desarrolador 2 (Miley Carrera</c:v>
                </c:pt>
                <c:pt idx="3">
                  <c:v>Desarrollador 3 (Hanna Valencia</c:v>
                </c:pt>
                <c:pt idx="4">
                  <c:v>Promedio PP</c:v>
                </c:pt>
                <c:pt idx="5">
                  <c:v>esfuerzo (1-5)</c:v>
                </c:pt>
              </c:strCache>
            </c:strRef>
          </c:cat>
          <c:val>
            <c:numRef>
              <c:f>ESTIMACION!$C$39:$M$39</c:f>
            </c:numRef>
          </c:val>
          <c:extLst>
            <c:ext xmlns:c16="http://schemas.microsoft.com/office/drawing/2014/chart" uri="{C3380CC4-5D6E-409C-BE32-E72D297353CC}">
              <c16:uniqueId val="{00000000-1A2D-4C4B-A2D4-DB7D19A4544A}"/>
            </c:ext>
          </c:extLst>
        </c:ser>
        <c:ser>
          <c:idx val="1"/>
          <c:order val="1"/>
          <c:tx>
            <c:strRef>
              <c:f>ESTIMACION!$B$42</c:f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ESTIMACION!$C$15:$M$15</c:f>
              <c:strCache>
                <c:ptCount val="6"/>
                <c:pt idx="0">
                  <c:v>Desarrolador (Juan José Bolívar)</c:v>
                </c:pt>
                <c:pt idx="1">
                  <c:v>Mar</c:v>
                </c:pt>
                <c:pt idx="2">
                  <c:v>Desarrolador 2 (Miley Carrera</c:v>
                </c:pt>
                <c:pt idx="3">
                  <c:v>Desarrollador 3 (Hanna Valencia</c:v>
                </c:pt>
                <c:pt idx="4">
                  <c:v>Promedio PP</c:v>
                </c:pt>
                <c:pt idx="5">
                  <c:v>esfuerzo (1-5)</c:v>
                </c:pt>
              </c:strCache>
            </c:strRef>
          </c:cat>
          <c:val>
            <c:numRef>
              <c:f>ESTIMACION!$C$61:$M$61</c:f>
            </c:numRef>
          </c:val>
          <c:extLst>
            <c:ext xmlns:c16="http://schemas.microsoft.com/office/drawing/2014/chart" uri="{C3380CC4-5D6E-409C-BE32-E72D297353CC}">
              <c16:uniqueId val="{00000001-1A2D-4C4B-A2D4-DB7D19A454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5"/>
        <c:axId val="1124757727"/>
        <c:axId val="1132187055"/>
      </c:barChart>
      <c:catAx>
        <c:axId val="112475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2187055"/>
        <c:crosses val="autoZero"/>
        <c:auto val="1"/>
        <c:lblAlgn val="ctr"/>
        <c:lblOffset val="100"/>
        <c:noMultiLvlLbl val="0"/>
      </c:catAx>
      <c:valAx>
        <c:axId val="11321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75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Century Gothic"/>
              <a:ea typeface="Century Gothic"/>
              <a:cs typeface="Century Gothic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  <a:latin typeface="+mn-lt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Gastos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Century Gothic"/>
              <a:ea typeface="Century Gothic"/>
              <a:cs typeface="Century Gothic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ESTIMACION!$O$43</c:f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ESTIMACION!$B$44:$B$61</c:f>
            </c:strRef>
          </c:cat>
          <c:val>
            <c:numRef>
              <c:f>ESTIMACION!$O$44:$O$61</c:f>
            </c:numRef>
          </c:val>
          <c:extLst>
            <c:ext xmlns:c16="http://schemas.microsoft.com/office/drawing/2014/chart" uri="{C3380CC4-5D6E-409C-BE32-E72D297353CC}">
              <c16:uniqueId val="{00000000-8033-45C3-BE49-EFB7C8CAA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081865903"/>
        <c:axId val="1109733487"/>
      </c:barChart>
      <c:catAx>
        <c:axId val="10818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733487"/>
        <c:crosses val="autoZero"/>
        <c:auto val="1"/>
        <c:lblAlgn val="ctr"/>
        <c:lblOffset val="100"/>
        <c:noMultiLvlLbl val="0"/>
      </c:catAx>
      <c:valAx>
        <c:axId val="110973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186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62</xdr:row>
      <xdr:rowOff>0</xdr:rowOff>
    </xdr:from>
    <xdr:to>
      <xdr:col>6</xdr:col>
      <xdr:colOff>514350</xdr:colOff>
      <xdr:row>81</xdr:row>
      <xdr:rowOff>0</xdr:rowOff>
    </xdr:to>
    <xdr:graphicFrame macro="">
      <xdr:nvGraphicFramePr>
        <xdr:cNvPr id="2" name="Diagrama 1" descr="Gráfico de ingresos y gastos por mes">
          <a:extLst>
            <a:ext uri="{FF2B5EF4-FFF2-40B4-BE49-F238E27FC236}">
              <a16:creationId xmlns:a16="http://schemas.microsoft.com/office/drawing/2014/main" id="{170C0ED0-9F9F-4253-B302-AC8F73CD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15</xdr:col>
      <xdr:colOff>533400</xdr:colOff>
      <xdr:row>82</xdr:row>
      <xdr:rowOff>0</xdr:rowOff>
    </xdr:to>
    <xdr:graphicFrame macro="">
      <xdr:nvGraphicFramePr>
        <xdr:cNvPr id="3" name="Diagrama 2" descr="Gráfico de gastos totales">
          <a:extLst>
            <a:ext uri="{FF2B5EF4-FFF2-40B4-BE49-F238E27FC236}">
              <a16:creationId xmlns:a16="http://schemas.microsoft.com/office/drawing/2014/main" id="{598E7BA9-3079-4539-BA01-1E4AB4EDFD5B}"/>
            </a:ext>
            <a:ext uri="{147F2762-F138-4A5C-976F-8EAC2B608ADB}">
              <a16:predDERef xmlns:a16="http://schemas.microsoft.com/office/drawing/2014/main" pred="{170C0ED0-9F9F-4253-B302-AC8F73CD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62</xdr:row>
      <xdr:rowOff>0</xdr:rowOff>
    </xdr:from>
    <xdr:to>
      <xdr:col>6</xdr:col>
      <xdr:colOff>514350</xdr:colOff>
      <xdr:row>81</xdr:row>
      <xdr:rowOff>0</xdr:rowOff>
    </xdr:to>
    <xdr:graphicFrame macro="">
      <xdr:nvGraphicFramePr>
        <xdr:cNvPr id="2" name="Diagrama 1" descr="Gráfico de ingresos y gastos por mes">
          <a:extLst>
            <a:ext uri="{FF2B5EF4-FFF2-40B4-BE49-F238E27FC236}">
              <a16:creationId xmlns:a16="http://schemas.microsoft.com/office/drawing/2014/main" id="{9E68B60A-84EF-4C5C-A136-32C64422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15</xdr:col>
      <xdr:colOff>533400</xdr:colOff>
      <xdr:row>82</xdr:row>
      <xdr:rowOff>0</xdr:rowOff>
    </xdr:to>
    <xdr:graphicFrame macro="">
      <xdr:nvGraphicFramePr>
        <xdr:cNvPr id="3" name="Diagrama 2" descr="Gráfico de gastos totales">
          <a:extLst>
            <a:ext uri="{FF2B5EF4-FFF2-40B4-BE49-F238E27FC236}">
              <a16:creationId xmlns:a16="http://schemas.microsoft.com/office/drawing/2014/main" id="{C35D2FC9-37D4-41E2-AA8F-BB8EB655FD80}"/>
            </a:ext>
            <a:ext uri="{147F2762-F138-4A5C-976F-8EAC2B608ADB}">
              <a16:predDERef xmlns:a16="http://schemas.microsoft.com/office/drawing/2014/main" pred="{9E68B60A-84EF-4C5C-A136-32C644220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77AEEF-090D-42C7-B8A4-6B8A2EAB534C}" name="Gastos4" displayName="Gastos4" ref="B43:P61" totalsRowCount="1" headerRowDxfId="133" dataDxfId="132" totalsRowDxfId="131" headerRowBorderDxfId="130">
  <autoFilter ref="B43:P60" xr:uid="{052B60F2-6A2A-41E4-B306-63C7F82ACC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96B0E4C-5136-4B70-8287-5DE83C3681B7}" name="Elemento" totalsRowLabel="Total" dataDxfId="128" totalsRowDxfId="129" dataCellStyle="Normal"/>
    <tableColumn id="2" xr3:uid="{6655C599-0A84-45DE-9D69-60A7FC2A9AB7}" name="Columna1" dataDxfId="126" totalsRowDxfId="127"/>
    <tableColumn id="3" xr3:uid="{1E5CA098-22D1-4976-BF44-ABCEE038A3DF}" name="Feb" totalsRowFunction="sum" dataDxfId="124" totalsRowDxfId="125"/>
    <tableColumn id="4" xr3:uid="{C6456444-9EFD-47C6-BBA1-9B11C3FC8612}" name="Mar" totalsRowFunction="sum" dataDxfId="122" totalsRowDxfId="123"/>
    <tableColumn id="5" xr3:uid="{68ED6792-E0C7-455D-B77D-53C69A75A577}" name="Abr" dataDxfId="120" totalsRowDxfId="121"/>
    <tableColumn id="6" xr3:uid="{A2BD2CC3-7C21-4286-B217-AE0F70942E6E}" name="May" totalsRowFunction="sum" dataDxfId="118" totalsRowDxfId="119"/>
    <tableColumn id="7" xr3:uid="{4DBFAAE6-BA0F-4DBE-B71A-E1CD6F199434}" name="Jun" totalsRowFunction="sum" dataDxfId="116" totalsRowDxfId="117"/>
    <tableColumn id="8" xr3:uid="{27B6EB2C-64B1-4AAF-8532-59B7F9D11D27}" name="Jul" totalsRowFunction="sum" dataDxfId="114" totalsRowDxfId="115"/>
    <tableColumn id="9" xr3:uid="{CE299FF6-A972-4A5F-8778-F29A78860969}" name="Ago" totalsRowFunction="sum" dataDxfId="112" totalsRowDxfId="113"/>
    <tableColumn id="10" xr3:uid="{71A1ED05-7809-4153-93C3-26D89E379E66}" name="Sep" totalsRowFunction="sum" dataDxfId="110" totalsRowDxfId="111"/>
    <tableColumn id="11" xr3:uid="{D4D9B263-6DBE-40D8-B969-26008F4980CE}" name="Oct" totalsRowFunction="sum" dataDxfId="108" totalsRowDxfId="109"/>
    <tableColumn id="12" xr3:uid="{F4550418-F326-4CD2-9F52-A379BF2D2028}" name="Nov" totalsRowFunction="sum" dataDxfId="106" totalsRowDxfId="107"/>
    <tableColumn id="13" xr3:uid="{693D9017-D94D-4278-B2EA-44A084C2B4F2}" name="Dic" totalsRowFunction="sum" dataDxfId="104" totalsRowDxfId="105"/>
    <tableColumn id="14" xr3:uid="{21124FDA-D4AD-4E99-AB43-2750288A45A9}" name="Ene" dataDxfId="102" totalsRowDxfId="103"/>
    <tableColumn id="15" xr3:uid="{36A3C141-9E5A-493F-A4A1-E3D5A20F4448}" name="Ene2" dataDxfId="100" totalsRowDxfId="101"/>
  </tableColumns>
  <tableStyleInfo name="Presupuesto mensual simple 2" showFirstColumn="0" showLastColumn="0" showRowStripes="1" showColumnStripes="0"/>
  <extLst>
    <ext xmlns:x14="http://schemas.microsoft.com/office/spreadsheetml/2009/9/main" uri="{504A1905-F514-4f6f-8877-14C23A59335A}">
      <x14:table altTextSummary="Escriba los elementos de gastos mensuales y los importes correspondientes en esta tabla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213C25-F4B3-4DA0-85B5-7664A9AB4DF4}" name="Ingresos5" displayName="Ingresos5" ref="B15:P39" totalsRowCount="1" headerRowDxfId="99" dataDxfId="98" totalsRowDxfId="97">
  <autoFilter ref="B15:P38" xr:uid="{2826007E-9D36-4A01-B502-D3C26CD7DA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C18ADBB-5ABD-4788-AD89-2591553DDFCA}" name="(7/Abril/2026)-(21/Abril/2026)" totalsRowLabel="Total" dataDxfId="95" totalsRowDxfId="96" dataCellStyle="Normal"/>
    <tableColumn id="2" xr3:uid="{A391C082-3E7F-4545-98D4-1C6FCBB8DCB2}" name="Columna1" dataDxfId="93" totalsRowDxfId="94"/>
    <tableColumn id="3" xr3:uid="{2848F394-D457-4FEF-8114-581F0D489642}" name="Tiempo sp 1" totalsRowFunction="sum" dataDxfId="91" totalsRowDxfId="92"/>
    <tableColumn id="4" xr3:uid="{00B6528A-9A63-4759-992C-CB06C33371DC}" name="Mar" totalsRowFunction="sum" dataDxfId="89" totalsRowDxfId="90"/>
    <tableColumn id="5" xr3:uid="{B07A43AD-5A8C-4560-997F-CA53273EC2B4}" name="(22/Abril/2026)-(06/Mayo/2026)" dataDxfId="87" totalsRowDxfId="88"/>
    <tableColumn id="6" xr3:uid="{37EAB245-15F0-4FBF-AEE3-83834D75168D}" name="Tiempo sp2" totalsRowFunction="sum" dataDxfId="85" totalsRowDxfId="86"/>
    <tableColumn id="7" xr3:uid="{2A0DA322-0490-439C-A6CD-12DD6FBBA29D}" name="(07/Mayo/2026)-(21/Mayo/2026)" totalsRowFunction="sum" dataDxfId="83" totalsRowDxfId="84">
      <calculatedColumnFormula>AVERAGE(Ingresos5[[#This Row],[Tiempo sp 1]:[Tiempo sp2]])</calculatedColumnFormula>
    </tableColumn>
    <tableColumn id="8" xr3:uid="{096724E7-2C99-491A-B83E-242A6C7443CB}" name="Tiempo sp3" totalsRowFunction="sum" dataDxfId="81" totalsRowDxfId="82"/>
    <tableColumn id="9" xr3:uid="{91DC4A8F-127A-40CB-AD39-DBA0060A6A2B}" name="Ago" totalsRowFunction="sum" dataDxfId="79" totalsRowDxfId="80"/>
    <tableColumn id="10" xr3:uid="{D703010C-8971-4A4F-80A8-670EEB12B377}" name="Sep" totalsRowFunction="sum" dataDxfId="77" totalsRowDxfId="78"/>
    <tableColumn id="11" xr3:uid="{B35CA59A-F7B6-49EA-954E-DF3291E0D0C5}" name="Oct" totalsRowFunction="sum" dataDxfId="75" totalsRowDxfId="76"/>
    <tableColumn id="12" xr3:uid="{7D13AF00-8EC4-4F82-9B78-1BE9C5CECB72}" name="Nov" totalsRowFunction="sum" dataDxfId="73" totalsRowDxfId="74"/>
    <tableColumn id="13" xr3:uid="{051EB08B-BC03-4FF6-A4FE-6F22B3FF2BC2}" name="Dic" totalsRowFunction="sum" dataDxfId="71" totalsRowDxfId="72"/>
    <tableColumn id="14" xr3:uid="{85CB5C1E-DDDC-4659-956D-75301DB3DDF4}" name="Ene" dataDxfId="69" totalsRowDxfId="70"/>
    <tableColumn id="15" xr3:uid="{C26C42B1-026B-4A32-A33D-1028408C0FE6}" name="Feb" dataDxfId="67" totalsRowDxfId="68"/>
  </tableColumns>
  <tableStyleInfo name="Presupuesto mensual simple 2" showFirstColumn="0" showLastColumn="0" showRowStripes="1" showColumnStripes="0"/>
  <extLst>
    <ext xmlns:x14="http://schemas.microsoft.com/office/spreadsheetml/2009/9/main" uri="{504A1905-F514-4f6f-8877-14C23A59335A}">
      <x14:table altTextSummary="Escriba los elementos de ingresos mensuales y los importes correspondientes en esta tabla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DA044-3D00-4D5C-AA03-711FB3F7A6DD}" name="Gastos" displayName="Gastos" ref="B43:P61" totalsRowCount="1" headerRowDxfId="66" dataDxfId="65" totalsRowDxfId="64" headerRowBorderDxfId="63">
  <autoFilter ref="B43:P60" xr:uid="{052B60F2-6A2A-41E4-B306-63C7F82ACC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B02C4AA-59FE-4F33-A818-82D236FBD218}" name="Elemento" totalsRowLabel="Total" dataDxfId="61" totalsRowDxfId="62" dataCellStyle="Normal"/>
    <tableColumn id="2" xr3:uid="{3AD6DF15-CAB2-43BC-A24D-634A37B2D7CE}" name="Columna1" dataDxfId="59" totalsRowDxfId="60"/>
    <tableColumn id="3" xr3:uid="{906EC369-0EF7-4CEE-8FED-F79AF685DF2D}" name="Feb" totalsRowFunction="sum" dataDxfId="57" totalsRowDxfId="58"/>
    <tableColumn id="4" xr3:uid="{1D9F03B8-39C1-426C-9751-D711D4CA4866}" name="Mar" totalsRowFunction="sum" dataDxfId="55" totalsRowDxfId="56"/>
    <tableColumn id="5" xr3:uid="{11A68AB7-C104-404C-87C2-326CFC5BFCC9}" name="Abr" dataDxfId="53" totalsRowDxfId="54"/>
    <tableColumn id="6" xr3:uid="{14FBEADA-FDED-4EFB-9100-0AD87027AB32}" name="May" totalsRowFunction="sum" dataDxfId="51" totalsRowDxfId="52"/>
    <tableColumn id="7" xr3:uid="{1A81C807-0F0C-4ED4-B90E-8597CE77C676}" name="Jun" totalsRowFunction="sum" dataDxfId="49" totalsRowDxfId="50"/>
    <tableColumn id="8" xr3:uid="{2CB91FFC-D5FC-4CA0-AA79-C066BCF85EE3}" name="Jul" totalsRowFunction="sum" dataDxfId="47" totalsRowDxfId="48"/>
    <tableColumn id="9" xr3:uid="{97D78DF2-B1EE-456F-8547-123CC2702781}" name="Ago" totalsRowFunction="sum" dataDxfId="45" totalsRowDxfId="46"/>
    <tableColumn id="10" xr3:uid="{5289E318-2FE2-443B-80F8-216BA018FA11}" name="Sep" totalsRowFunction="sum" dataDxfId="43" totalsRowDxfId="44"/>
    <tableColumn id="11" xr3:uid="{71659D0C-FD87-4104-BF44-1C664B51B7AA}" name="Oct" totalsRowFunction="sum" dataDxfId="41" totalsRowDxfId="42"/>
    <tableColumn id="12" xr3:uid="{4628989A-7973-456A-8C5A-A8A6D57C7547}" name="Nov" totalsRowFunction="sum" dataDxfId="39" totalsRowDxfId="40"/>
    <tableColumn id="13" xr3:uid="{F5457BF1-3FEA-4D1C-9523-67D19B404A94}" name="Dic" totalsRowFunction="sum" dataDxfId="37" totalsRowDxfId="38"/>
    <tableColumn id="14" xr3:uid="{C70A117F-DC84-4241-A5C1-4219902645AD}" name="Ene" dataDxfId="35" totalsRowDxfId="36"/>
    <tableColumn id="15" xr3:uid="{425A025C-4D6D-4171-B4AE-BE335F79F839}" name="Ene2" dataDxfId="33" totalsRowDxfId="34"/>
  </tableColumns>
  <tableStyleInfo name="Presupuesto mensual simple 2" showFirstColumn="0" showLastColumn="0" showRowStripes="1" showColumnStripes="0"/>
  <extLst>
    <ext xmlns:x14="http://schemas.microsoft.com/office/spreadsheetml/2009/9/main" uri="{504A1905-F514-4f6f-8877-14C23A59335A}">
      <x14:table altTextSummary="Escriba los elementos de gastos mensuales y los importes correspondientes en esta tabla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4A91B1-1A0E-45D9-90B3-8FE2945928D2}" name="Ingresos" displayName="Ingresos" ref="B15:P39" totalsRowCount="1" headerRowDxfId="32" dataDxfId="31" totalsRowDxfId="30">
  <autoFilter ref="B15:P38" xr:uid="{2826007E-9D36-4A01-B502-D3C26CD7DA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6960271-84BF-4E1E-AB88-2CEBF69F5991}" name="HU" totalsRowLabel="Total" dataDxfId="28" totalsRowDxfId="29" dataCellStyle="Normal"/>
    <tableColumn id="2" xr3:uid="{4DE24E8E-9814-4B87-B5B2-742308E21B1C}" name="Columna1" dataDxfId="26" totalsRowDxfId="27"/>
    <tableColumn id="3" xr3:uid="{0BE416BC-EC9C-4F9F-9256-F360B7F10AD7}" name="Desarrolador (Juan José Bolívar)" totalsRowFunction="sum" dataDxfId="24" totalsRowDxfId="25"/>
    <tableColumn id="4" xr3:uid="{1C8A3E5A-847B-4CBC-AC25-A7F3006813B8}" name="Mar" totalsRowFunction="sum" dataDxfId="22" totalsRowDxfId="23"/>
    <tableColumn id="5" xr3:uid="{16AA1869-5314-4F30-874C-2424C9942EFA}" name="Desarrolador 2 (Miley Carrera" dataDxfId="20" totalsRowDxfId="21"/>
    <tableColumn id="6" xr3:uid="{08F9B2A8-95EA-420C-8DDD-9DCFADF69BD3}" name="Desarrollador 3 (Hanna Valencia" totalsRowFunction="sum" dataDxfId="18" totalsRowDxfId="19"/>
    <tableColumn id="7" xr3:uid="{9174C30F-0B10-488A-87D0-F67C5A1CEC32}" name="Promedio PP" totalsRowFunction="sum" dataDxfId="16" totalsRowDxfId="17">
      <calculatedColumnFormula>AVERAGE(Ingresos[[#This Row],[Desarrolador (Juan José Bolívar)]:[Desarrollador 3 (Hanna Valencia]])</calculatedColumnFormula>
    </tableColumn>
    <tableColumn id="8" xr3:uid="{ACD6B6A6-F941-4C91-A846-17A0F4645CD1}" name="esfuerzo (1-5)" totalsRowFunction="sum" dataDxfId="14" totalsRowDxfId="15"/>
    <tableColumn id="9" xr3:uid="{DEE75E9D-57A5-4131-8CB6-5D5D78968BC6}" name="Ago" totalsRowFunction="sum" dataDxfId="12" totalsRowDxfId="13"/>
    <tableColumn id="10" xr3:uid="{8AB528C6-0C73-4483-B3D5-E013F0F73A4D}" name="Sep" totalsRowFunction="sum" dataDxfId="10" totalsRowDxfId="11"/>
    <tableColumn id="11" xr3:uid="{98E12DA2-9B82-46BD-9899-2A9274A65B32}" name="Oct" totalsRowFunction="sum" dataDxfId="8" totalsRowDxfId="9"/>
    <tableColumn id="12" xr3:uid="{CCF698C4-4E2A-417B-821D-245AE6D1778F}" name="Nov" totalsRowFunction="sum" dataDxfId="6" totalsRowDxfId="7"/>
    <tableColumn id="13" xr3:uid="{0D772E6B-FCAB-4B2E-AA3D-4B3D8165F74D}" name="Dic" totalsRowFunction="sum" dataDxfId="4" totalsRowDxfId="5"/>
    <tableColumn id="14" xr3:uid="{5237C918-25EA-4071-889D-7C2F8A576286}" name="Ene" dataDxfId="2" totalsRowDxfId="3"/>
    <tableColumn id="15" xr3:uid="{B71D94A2-E8BE-4680-982E-69349A884878}" name="Feb" dataDxfId="0" totalsRowDxfId="1"/>
  </tableColumns>
  <tableStyleInfo name="Presupuesto mensual simple 2" showFirstColumn="0" showLastColumn="0" showRowStripes="1" showColumnStripes="0"/>
  <extLst>
    <ext xmlns:x14="http://schemas.microsoft.com/office/spreadsheetml/2009/9/main" uri="{504A1905-F514-4f6f-8877-14C23A59335A}">
      <x14:table altTextSummary="Escriba los elementos de ingresos mensuales y los importes correspondientes en esta tabla."/>
    </ext>
  </extLst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5833-D392-4F42-9930-72CBAFFA676B}">
  <dimension ref="A2:I27"/>
  <sheetViews>
    <sheetView workbookViewId="0">
      <selection activeCell="B30" sqref="B30"/>
    </sheetView>
  </sheetViews>
  <sheetFormatPr defaultRowHeight="16.5"/>
  <cols>
    <col min="2" max="2" width="118.875" customWidth="1"/>
    <col min="3" max="3" width="15.125" customWidth="1"/>
    <col min="4" max="4" width="14.625" customWidth="1"/>
    <col min="5" max="5" width="13" customWidth="1"/>
    <col min="6" max="6" width="14.5" customWidth="1"/>
  </cols>
  <sheetData>
    <row r="2" spans="1:9" ht="43.5">
      <c r="A2" s="1"/>
      <c r="B2" s="11" t="s">
        <v>0</v>
      </c>
      <c r="C2" s="2"/>
      <c r="D2" s="2"/>
      <c r="E2" s="2"/>
      <c r="F2" s="2"/>
      <c r="G2" s="2"/>
      <c r="H2" s="25"/>
      <c r="I2" s="2"/>
    </row>
    <row r="3" spans="1:9" ht="16.5" customHeight="1">
      <c r="A3" s="1"/>
      <c r="B3" s="3"/>
      <c r="C3" s="4"/>
      <c r="D3" s="5"/>
      <c r="E3" s="5"/>
      <c r="F3" s="5"/>
      <c r="G3" s="5"/>
      <c r="H3" s="26"/>
      <c r="I3" s="5"/>
    </row>
    <row r="4" spans="1:9">
      <c r="B4" s="50" t="s">
        <v>1</v>
      </c>
      <c r="C4" s="50" t="s">
        <v>2</v>
      </c>
      <c r="D4" s="50" t="s">
        <v>3</v>
      </c>
      <c r="E4" s="50" t="s">
        <v>4</v>
      </c>
      <c r="F4" s="50" t="s">
        <v>5</v>
      </c>
    </row>
    <row r="5" spans="1:9">
      <c r="B5" s="51" t="s">
        <v>6</v>
      </c>
      <c r="C5" s="52">
        <v>4</v>
      </c>
      <c r="D5" s="52">
        <v>7.5</v>
      </c>
      <c r="E5" s="53">
        <v>3</v>
      </c>
      <c r="F5" s="52">
        <f>C5*D5/E5</f>
        <v>10</v>
      </c>
    </row>
    <row r="6" spans="1:9">
      <c r="B6" s="51" t="s">
        <v>7</v>
      </c>
      <c r="C6" s="52">
        <v>4</v>
      </c>
      <c r="D6" s="52">
        <v>7.5</v>
      </c>
      <c r="E6" s="53">
        <v>3</v>
      </c>
      <c r="F6" s="52">
        <f t="shared" ref="F6:F27" si="0">C6*D6/E6</f>
        <v>10</v>
      </c>
    </row>
    <row r="7" spans="1:9">
      <c r="B7" s="51" t="s">
        <v>8</v>
      </c>
      <c r="C7" s="52">
        <v>3.5</v>
      </c>
      <c r="D7" s="52">
        <v>8</v>
      </c>
      <c r="E7" s="53">
        <v>5</v>
      </c>
      <c r="F7" s="52">
        <f t="shared" si="0"/>
        <v>5.6</v>
      </c>
    </row>
    <row r="8" spans="1:9">
      <c r="B8" s="51" t="s">
        <v>9</v>
      </c>
      <c r="C8" s="52">
        <v>4.8</v>
      </c>
      <c r="D8" s="52">
        <v>7.6</v>
      </c>
      <c r="E8" s="53">
        <v>4</v>
      </c>
      <c r="F8" s="52">
        <f t="shared" si="0"/>
        <v>9.1199999999999992</v>
      </c>
    </row>
    <row r="9" spans="1:9">
      <c r="B9" s="51" t="s">
        <v>10</v>
      </c>
      <c r="C9" s="52">
        <v>4.3</v>
      </c>
      <c r="D9" s="52">
        <v>9.5</v>
      </c>
      <c r="E9" s="53">
        <v>4</v>
      </c>
      <c r="F9" s="52">
        <f t="shared" si="0"/>
        <v>10.2125</v>
      </c>
    </row>
    <row r="10" spans="1:9">
      <c r="B10" s="51" t="s">
        <v>11</v>
      </c>
      <c r="C10" s="52">
        <v>3.6</v>
      </c>
      <c r="D10" s="52">
        <v>8.1999999999999993</v>
      </c>
      <c r="E10" s="53">
        <v>4</v>
      </c>
      <c r="F10" s="52">
        <f t="shared" si="0"/>
        <v>7.38</v>
      </c>
    </row>
    <row r="11" spans="1:9">
      <c r="B11" s="51" t="s">
        <v>12</v>
      </c>
      <c r="C11" s="52">
        <v>4.3</v>
      </c>
      <c r="D11" s="52">
        <v>9.3000000000000007</v>
      </c>
      <c r="E11" s="53">
        <v>4</v>
      </c>
      <c r="F11" s="52">
        <f t="shared" si="0"/>
        <v>9.9975000000000005</v>
      </c>
    </row>
    <row r="12" spans="1:9">
      <c r="B12" s="51" t="s">
        <v>13</v>
      </c>
      <c r="C12" s="52">
        <v>4.0999999999999996</v>
      </c>
      <c r="D12" s="52">
        <v>8.8000000000000007</v>
      </c>
      <c r="E12" s="53">
        <v>4</v>
      </c>
      <c r="F12" s="52">
        <f t="shared" si="0"/>
        <v>9.02</v>
      </c>
    </row>
    <row r="13" spans="1:9">
      <c r="B13" s="51" t="s">
        <v>14</v>
      </c>
      <c r="C13" s="52">
        <v>3.5</v>
      </c>
      <c r="D13" s="52">
        <v>8.6999999999999993</v>
      </c>
      <c r="E13" s="53">
        <v>5</v>
      </c>
      <c r="F13" s="52">
        <f t="shared" si="0"/>
        <v>6.089999999999999</v>
      </c>
    </row>
    <row r="14" spans="1:9">
      <c r="B14" s="51" t="s">
        <v>15</v>
      </c>
      <c r="C14" s="52">
        <v>3.1</v>
      </c>
      <c r="D14" s="52">
        <v>10</v>
      </c>
      <c r="E14" s="53">
        <v>5</v>
      </c>
      <c r="F14" s="52">
        <f t="shared" si="0"/>
        <v>6.2</v>
      </c>
    </row>
    <row r="15" spans="1:9">
      <c r="B15" s="51" t="s">
        <v>16</v>
      </c>
      <c r="C15" s="52">
        <v>3.9</v>
      </c>
      <c r="D15" s="52">
        <v>8</v>
      </c>
      <c r="E15" s="53">
        <v>4</v>
      </c>
      <c r="F15" s="52">
        <f t="shared" si="0"/>
        <v>7.8</v>
      </c>
    </row>
    <row r="16" spans="1:9">
      <c r="B16" s="51" t="s">
        <v>17</v>
      </c>
      <c r="C16" s="52">
        <v>3.9</v>
      </c>
      <c r="D16" s="52">
        <v>8.5</v>
      </c>
      <c r="E16" s="53">
        <v>4</v>
      </c>
      <c r="F16" s="52">
        <f t="shared" si="0"/>
        <v>8.2874999999999996</v>
      </c>
    </row>
    <row r="17" spans="2:6">
      <c r="B17" s="51" t="s">
        <v>18</v>
      </c>
      <c r="C17" s="52">
        <v>4.5999999999999996</v>
      </c>
      <c r="D17" s="52">
        <v>9</v>
      </c>
      <c r="E17" s="53">
        <v>4</v>
      </c>
      <c r="F17" s="52">
        <f t="shared" si="0"/>
        <v>10.35</v>
      </c>
    </row>
    <row r="18" spans="2:6">
      <c r="B18" s="51" t="s">
        <v>19</v>
      </c>
      <c r="C18" s="52">
        <v>4.8</v>
      </c>
      <c r="D18" s="52">
        <v>9.3000000000000007</v>
      </c>
      <c r="E18" s="53">
        <v>5</v>
      </c>
      <c r="F18" s="52">
        <f t="shared" si="0"/>
        <v>8.9280000000000008</v>
      </c>
    </row>
    <row r="19" spans="2:6">
      <c r="B19" s="51" t="s">
        <v>20</v>
      </c>
      <c r="C19" s="52">
        <v>4</v>
      </c>
      <c r="D19" s="52">
        <v>8.5</v>
      </c>
      <c r="E19" s="53">
        <v>4</v>
      </c>
      <c r="F19" s="52">
        <f t="shared" si="0"/>
        <v>8.5</v>
      </c>
    </row>
    <row r="20" spans="2:6">
      <c r="B20" s="51" t="s">
        <v>21</v>
      </c>
      <c r="C20" s="52">
        <v>2.8</v>
      </c>
      <c r="D20" s="52">
        <v>7</v>
      </c>
      <c r="E20" s="53">
        <v>2</v>
      </c>
      <c r="F20" s="52">
        <f t="shared" si="0"/>
        <v>9.7999999999999989</v>
      </c>
    </row>
    <row r="21" spans="2:6">
      <c r="B21" s="51" t="s">
        <v>22</v>
      </c>
      <c r="C21" s="52">
        <v>3</v>
      </c>
      <c r="D21" s="52">
        <v>9</v>
      </c>
      <c r="E21" s="53">
        <v>4</v>
      </c>
      <c r="F21" s="52">
        <f t="shared" si="0"/>
        <v>6.75</v>
      </c>
    </row>
    <row r="22" spans="2:6">
      <c r="B22" s="51" t="s">
        <v>23</v>
      </c>
      <c r="C22" s="52">
        <v>4</v>
      </c>
      <c r="D22" s="52">
        <v>9</v>
      </c>
      <c r="E22" s="53">
        <v>5</v>
      </c>
      <c r="F22" s="52">
        <f t="shared" si="0"/>
        <v>7.2</v>
      </c>
    </row>
    <row r="23" spans="2:6">
      <c r="B23" s="51" t="s">
        <v>24</v>
      </c>
      <c r="C23" s="52">
        <v>3.8</v>
      </c>
      <c r="D23" s="52">
        <v>7.8</v>
      </c>
      <c r="E23" s="53">
        <v>3</v>
      </c>
      <c r="F23" s="52">
        <f t="shared" si="0"/>
        <v>9.879999999999999</v>
      </c>
    </row>
    <row r="24" spans="2:6">
      <c r="B24" s="54" t="s">
        <v>25</v>
      </c>
      <c r="C24" s="52">
        <v>4.5999999999999996</v>
      </c>
      <c r="D24" s="52">
        <v>8</v>
      </c>
      <c r="E24" s="53">
        <v>4</v>
      </c>
      <c r="F24" s="52">
        <f t="shared" si="0"/>
        <v>9.1999999999999993</v>
      </c>
    </row>
    <row r="25" spans="2:6">
      <c r="B25" s="51" t="s">
        <v>26</v>
      </c>
      <c r="C25" s="52">
        <v>3.8</v>
      </c>
      <c r="D25" s="52">
        <v>7.8</v>
      </c>
      <c r="E25" s="53">
        <v>3</v>
      </c>
      <c r="F25" s="52">
        <f t="shared" si="0"/>
        <v>9.879999999999999</v>
      </c>
    </row>
    <row r="26" spans="2:6">
      <c r="B26" s="51" t="s">
        <v>27</v>
      </c>
      <c r="C26" s="52">
        <v>3.1</v>
      </c>
      <c r="D26" s="52">
        <v>6</v>
      </c>
      <c r="E26" s="53">
        <v>2</v>
      </c>
      <c r="F26" s="52">
        <f t="shared" si="0"/>
        <v>9.3000000000000007</v>
      </c>
    </row>
    <row r="27" spans="2:6">
      <c r="B27" s="51" t="s">
        <v>28</v>
      </c>
      <c r="C27" s="52">
        <v>2.7</v>
      </c>
      <c r="D27" s="52">
        <v>5.7</v>
      </c>
      <c r="E27" s="53">
        <v>2</v>
      </c>
      <c r="F27" s="52">
        <f t="shared" si="0"/>
        <v>7.6950000000000012</v>
      </c>
    </row>
  </sheetData>
  <dataValidations count="1">
    <dataValidation allowBlank="1" showInputMessage="1" showErrorMessage="1" prompt="El título de esta hoja de cálculo se encuentra en esta celda. Escriba los ingresos mensuales en la tabla Ingresos y los gastos mensuales en la tabla Gastos" sqref="B2" xr:uid="{111A0234-B17A-4ACF-8C46-7DE104F43254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44F2-2478-42F3-9CE0-7D65553C2E60}">
  <sheetPr>
    <tabColor theme="4"/>
    <pageSetUpPr fitToPage="1"/>
  </sheetPr>
  <dimension ref="B1:S104"/>
  <sheetViews>
    <sheetView showGridLines="0" workbookViewId="0">
      <selection activeCell="B2" sqref="B2"/>
    </sheetView>
  </sheetViews>
  <sheetFormatPr defaultColWidth="8.875" defaultRowHeight="16.5"/>
  <cols>
    <col min="1" max="1" width="4.75" style="1" customWidth="1"/>
    <col min="2" max="2" width="45.625" style="1" customWidth="1"/>
    <col min="3" max="3" width="13.75" style="1" hidden="1" customWidth="1"/>
    <col min="4" max="4" width="35.5" style="1" customWidth="1"/>
    <col min="5" max="5" width="6.375" style="1" hidden="1" customWidth="1"/>
    <col min="6" max="6" width="40.625" style="1" customWidth="1"/>
    <col min="7" max="7" width="29.25" style="1" customWidth="1"/>
    <col min="8" max="8" width="46.625" style="24" customWidth="1"/>
    <col min="9" max="9" width="23.25" style="1" customWidth="1"/>
    <col min="10" max="15" width="11.375" style="1" hidden="1" customWidth="1"/>
    <col min="16" max="16" width="15.25" style="1" hidden="1" customWidth="1"/>
    <col min="17" max="17" width="6.625" style="1" customWidth="1"/>
    <col min="18" max="16384" width="8.875" style="1"/>
  </cols>
  <sheetData>
    <row r="1" spans="2:16" ht="25.15" customHeight="1"/>
    <row r="2" spans="2:16" ht="60" customHeight="1">
      <c r="B2" s="11" t="s">
        <v>29</v>
      </c>
      <c r="C2" s="2"/>
      <c r="D2" s="2"/>
      <c r="E2" s="2"/>
      <c r="F2" s="2"/>
      <c r="G2" s="2"/>
      <c r="H2" s="25"/>
      <c r="I2" s="2"/>
      <c r="J2" s="2"/>
      <c r="K2" s="2"/>
      <c r="L2" s="2"/>
      <c r="M2" s="2"/>
      <c r="N2" s="2"/>
      <c r="O2" s="2"/>
      <c r="P2" s="2"/>
    </row>
    <row r="3" spans="2:16" ht="19.899999999999999" customHeight="1">
      <c r="B3" s="3"/>
      <c r="C3" s="4"/>
      <c r="D3" s="5"/>
      <c r="E3" s="5"/>
      <c r="F3" s="5"/>
      <c r="G3" s="5"/>
      <c r="H3" s="26"/>
      <c r="I3" s="5"/>
      <c r="J3" s="5"/>
      <c r="K3" s="5"/>
      <c r="L3" s="5"/>
      <c r="M3" s="5"/>
      <c r="N3" s="5"/>
      <c r="O3" s="5"/>
      <c r="P3" s="5"/>
    </row>
    <row r="4" spans="2:16" ht="34.9" hidden="1" customHeight="1">
      <c r="B4" s="12" t="s">
        <v>30</v>
      </c>
      <c r="C4" s="6"/>
      <c r="D4" s="12" t="s">
        <v>31</v>
      </c>
      <c r="E4" s="6"/>
    </row>
    <row r="5" spans="2:16" ht="30" hidden="1" customHeight="1">
      <c r="B5" s="34">
        <v>0</v>
      </c>
      <c r="C5" s="35"/>
      <c r="D5" s="34">
        <v>0</v>
      </c>
      <c r="E5" s="16">
        <f>Ingresos5[[#Totals],[Ene]]</f>
        <v>0</v>
      </c>
    </row>
    <row r="6" spans="2:16" ht="30" hidden="1" customHeight="1">
      <c r="B6" s="36">
        <v>0.5</v>
      </c>
      <c r="C6" s="37"/>
      <c r="D6" s="38">
        <v>1</v>
      </c>
      <c r="E6" s="17">
        <f>Gastos4[[#Totals],[Ene]]</f>
        <v>0</v>
      </c>
    </row>
    <row r="7" spans="2:16" ht="30" hidden="1" customHeight="1">
      <c r="B7" s="34">
        <v>1</v>
      </c>
      <c r="C7" s="35"/>
      <c r="D7" s="34">
        <v>1</v>
      </c>
      <c r="E7" s="22"/>
    </row>
    <row r="8" spans="2:16" ht="30" hidden="1" customHeight="1">
      <c r="B8" s="38">
        <v>2</v>
      </c>
      <c r="C8" s="37"/>
      <c r="D8" s="38">
        <v>2</v>
      </c>
      <c r="E8" s="22"/>
    </row>
    <row r="9" spans="2:16" ht="30" hidden="1" customHeight="1">
      <c r="B9" s="34">
        <v>3</v>
      </c>
      <c r="C9" s="35"/>
      <c r="D9" s="34">
        <v>3</v>
      </c>
      <c r="E9" s="22"/>
    </row>
    <row r="10" spans="2:16" ht="30" hidden="1" customHeight="1">
      <c r="B10" s="38">
        <v>5</v>
      </c>
      <c r="C10" s="37"/>
      <c r="D10" s="38">
        <v>4</v>
      </c>
      <c r="E10" s="22"/>
    </row>
    <row r="11" spans="2:16" ht="30" hidden="1" customHeight="1">
      <c r="B11" s="34">
        <v>8</v>
      </c>
      <c r="C11" s="35"/>
      <c r="D11" s="34">
        <v>5</v>
      </c>
      <c r="E11" s="22"/>
    </row>
    <row r="12" spans="2:16" ht="30" hidden="1" customHeight="1">
      <c r="B12" s="38" t="s">
        <v>32</v>
      </c>
      <c r="C12" s="37"/>
      <c r="D12" s="38">
        <v>5</v>
      </c>
      <c r="E12" s="22"/>
    </row>
    <row r="13" spans="2:16" ht="19.899999999999999" hidden="1" customHeight="1">
      <c r="C13" s="7"/>
    </row>
    <row r="14" spans="2:16" ht="33" customHeight="1">
      <c r="B14" s="13"/>
      <c r="C14" s="8"/>
      <c r="D14" s="8"/>
      <c r="E14" s="8"/>
      <c r="F14" s="8"/>
      <c r="G14" s="8"/>
      <c r="H14" s="27"/>
      <c r="I14" s="8"/>
      <c r="J14" s="8"/>
      <c r="K14" s="8"/>
      <c r="L14" s="8"/>
      <c r="M14" s="8"/>
      <c r="N14" s="8"/>
      <c r="O14" s="8"/>
      <c r="P14" s="8"/>
    </row>
    <row r="15" spans="2:16" ht="34.9" customHeight="1">
      <c r="B15" s="14" t="s">
        <v>33</v>
      </c>
      <c r="C15" s="14" t="s">
        <v>34</v>
      </c>
      <c r="D15" s="15" t="s">
        <v>35</v>
      </c>
      <c r="E15" s="15" t="s">
        <v>36</v>
      </c>
      <c r="F15" s="15" t="s">
        <v>37</v>
      </c>
      <c r="G15" s="15" t="s">
        <v>38</v>
      </c>
      <c r="H15" s="28" t="s">
        <v>39</v>
      </c>
      <c r="I15" s="15" t="s">
        <v>40</v>
      </c>
      <c r="J15" s="15" t="s">
        <v>41</v>
      </c>
      <c r="K15" s="15" t="s">
        <v>42</v>
      </c>
      <c r="L15" s="15" t="s">
        <v>43</v>
      </c>
      <c r="M15" s="15" t="s">
        <v>44</v>
      </c>
      <c r="N15" s="15" t="s">
        <v>45</v>
      </c>
      <c r="O15" s="15" t="s">
        <v>46</v>
      </c>
      <c r="P15" s="15" t="s">
        <v>47</v>
      </c>
    </row>
    <row r="16" spans="2:16" s="39" customFormat="1" ht="30" customHeight="1">
      <c r="B16" s="43" t="s">
        <v>48</v>
      </c>
      <c r="C16" s="43"/>
      <c r="D16" s="43"/>
      <c r="E16" s="43"/>
      <c r="F16" s="43" t="s">
        <v>49</v>
      </c>
      <c r="G16" s="43"/>
      <c r="H16" s="43" t="s">
        <v>50</v>
      </c>
      <c r="I16" s="43"/>
      <c r="J16" s="42"/>
      <c r="K16" s="40"/>
      <c r="L16" s="40"/>
      <c r="M16" s="40"/>
      <c r="N16" s="40"/>
      <c r="O16" s="41"/>
      <c r="P16" s="41"/>
    </row>
    <row r="17" spans="2:19" ht="30" customHeight="1">
      <c r="B17" s="44" t="s">
        <v>51</v>
      </c>
      <c r="C17" s="44" t="s">
        <v>52</v>
      </c>
      <c r="D17" s="44" t="s">
        <v>52</v>
      </c>
      <c r="E17" s="44" t="s">
        <v>53</v>
      </c>
      <c r="F17" s="44" t="s">
        <v>54</v>
      </c>
      <c r="G17" s="44" t="s">
        <v>53</v>
      </c>
      <c r="H17" s="44" t="s">
        <v>55</v>
      </c>
      <c r="I17" s="44" t="s">
        <v>56</v>
      </c>
      <c r="J17" s="19"/>
      <c r="K17" s="19"/>
      <c r="L17" s="19"/>
      <c r="M17" s="19"/>
      <c r="N17" s="19"/>
      <c r="O17" s="18"/>
      <c r="P17" s="18"/>
    </row>
    <row r="18" spans="2:19" ht="30" customHeight="1">
      <c r="B18" s="44" t="s">
        <v>57</v>
      </c>
      <c r="C18" s="44" t="s">
        <v>52</v>
      </c>
      <c r="D18" s="44" t="s">
        <v>52</v>
      </c>
      <c r="E18" s="44" t="s">
        <v>56</v>
      </c>
      <c r="F18" s="44" t="s">
        <v>58</v>
      </c>
      <c r="G18" s="44" t="s">
        <v>56</v>
      </c>
      <c r="H18" s="44" t="s">
        <v>59</v>
      </c>
      <c r="I18" s="44" t="s">
        <v>60</v>
      </c>
      <c r="J18" s="19"/>
      <c r="K18" s="19"/>
      <c r="L18" s="19"/>
      <c r="M18" s="19"/>
      <c r="N18" s="19"/>
      <c r="O18" s="18"/>
      <c r="P18" s="18"/>
    </row>
    <row r="19" spans="2:19" ht="30" customHeight="1">
      <c r="B19" s="44" t="s">
        <v>61</v>
      </c>
      <c r="C19" s="44" t="s">
        <v>60</v>
      </c>
      <c r="D19" s="44" t="s">
        <v>60</v>
      </c>
      <c r="E19" s="44" t="s">
        <v>62</v>
      </c>
      <c r="F19" s="44" t="s">
        <v>63</v>
      </c>
      <c r="G19" s="44" t="s">
        <v>62</v>
      </c>
      <c r="H19" s="44" t="s">
        <v>64</v>
      </c>
      <c r="I19" s="44" t="s">
        <v>60</v>
      </c>
      <c r="J19" s="19"/>
      <c r="K19" s="19"/>
      <c r="L19" s="19"/>
      <c r="M19" s="19"/>
      <c r="N19" s="19"/>
      <c r="O19" s="18"/>
      <c r="P19" s="18"/>
    </row>
    <row r="20" spans="2:19" ht="30" customHeight="1">
      <c r="B20" s="44" t="s">
        <v>65</v>
      </c>
      <c r="C20" s="44" t="s">
        <v>66</v>
      </c>
      <c r="D20" s="44" t="s">
        <v>66</v>
      </c>
      <c r="E20" s="44" t="s">
        <v>67</v>
      </c>
      <c r="F20" s="44" t="s">
        <v>68</v>
      </c>
      <c r="G20" s="44" t="s">
        <v>67</v>
      </c>
      <c r="H20" s="44" t="s">
        <v>69</v>
      </c>
      <c r="I20" s="44" t="s">
        <v>60</v>
      </c>
      <c r="J20" s="23"/>
      <c r="K20" s="23"/>
      <c r="L20" s="23"/>
      <c r="M20" s="23"/>
      <c r="N20" s="23"/>
      <c r="O20" s="18"/>
      <c r="P20" s="18"/>
    </row>
    <row r="21" spans="2:19" ht="30" customHeight="1">
      <c r="B21" s="44" t="s">
        <v>70</v>
      </c>
      <c r="C21" s="44" t="s">
        <v>66</v>
      </c>
      <c r="D21" s="44" t="s">
        <v>66</v>
      </c>
      <c r="E21" s="44" t="s">
        <v>71</v>
      </c>
      <c r="F21" s="44" t="s">
        <v>72</v>
      </c>
      <c r="G21" s="44" t="s">
        <v>71</v>
      </c>
      <c r="H21" s="44" t="s">
        <v>73</v>
      </c>
      <c r="I21" s="44" t="s">
        <v>60</v>
      </c>
      <c r="J21" s="23"/>
      <c r="K21" s="23"/>
      <c r="L21" s="23"/>
      <c r="M21" s="23"/>
      <c r="N21" s="23"/>
      <c r="O21" s="18"/>
      <c r="P21" s="18"/>
    </row>
    <row r="22" spans="2:19" ht="30" customHeight="1">
      <c r="B22" s="44" t="s">
        <v>74</v>
      </c>
      <c r="C22" s="44" t="s">
        <v>75</v>
      </c>
      <c r="D22" s="44" t="s">
        <v>75</v>
      </c>
      <c r="E22" s="44" t="s">
        <v>56</v>
      </c>
      <c r="F22" s="44" t="s">
        <v>76</v>
      </c>
      <c r="G22" s="44" t="s">
        <v>56</v>
      </c>
      <c r="H22" s="45"/>
      <c r="I22" s="46" t="s">
        <v>77</v>
      </c>
      <c r="J22" s="23"/>
      <c r="K22" s="23"/>
      <c r="L22" s="23"/>
      <c r="M22" s="23"/>
      <c r="N22" s="23"/>
      <c r="O22" s="18"/>
      <c r="P22" s="18"/>
    </row>
    <row r="23" spans="2:19" ht="30" customHeight="1">
      <c r="B23" s="44" t="s">
        <v>78</v>
      </c>
      <c r="C23" s="44" t="s">
        <v>52</v>
      </c>
      <c r="D23" s="44" t="s">
        <v>52</v>
      </c>
      <c r="E23" s="44" t="s">
        <v>79</v>
      </c>
      <c r="F23" s="44" t="s">
        <v>80</v>
      </c>
      <c r="G23" s="44" t="s">
        <v>79</v>
      </c>
      <c r="H23" s="45"/>
      <c r="I23" s="47"/>
      <c r="J23" s="23"/>
      <c r="K23" s="23"/>
      <c r="L23" s="23"/>
      <c r="M23" s="23"/>
      <c r="N23" s="23"/>
      <c r="O23" s="18"/>
      <c r="P23" s="18"/>
    </row>
    <row r="24" spans="2:19" ht="30" customHeight="1">
      <c r="B24" s="44" t="s">
        <v>81</v>
      </c>
      <c r="C24" s="44" t="s">
        <v>52</v>
      </c>
      <c r="D24" s="44" t="s">
        <v>52</v>
      </c>
      <c r="E24" s="44" t="s">
        <v>82</v>
      </c>
      <c r="F24" s="44" t="s">
        <v>83</v>
      </c>
      <c r="G24" s="44" t="s">
        <v>82</v>
      </c>
      <c r="H24" s="45"/>
      <c r="I24" s="47"/>
      <c r="J24" s="23"/>
      <c r="K24" s="23"/>
      <c r="L24" s="23"/>
      <c r="M24" s="23"/>
      <c r="N24" s="23"/>
      <c r="O24" s="18"/>
      <c r="P24" s="18"/>
    </row>
    <row r="25" spans="2:19" ht="30" customHeight="1">
      <c r="B25" s="44" t="s">
        <v>84</v>
      </c>
      <c r="C25" s="44" t="s">
        <v>85</v>
      </c>
      <c r="D25" s="44" t="s">
        <v>85</v>
      </c>
      <c r="E25" s="44" t="s">
        <v>86</v>
      </c>
      <c r="F25" s="44" t="s">
        <v>87</v>
      </c>
      <c r="G25" s="44" t="s">
        <v>86</v>
      </c>
      <c r="H25" s="45"/>
      <c r="I25" s="47"/>
      <c r="J25" s="23"/>
      <c r="K25" s="23"/>
      <c r="L25" s="23"/>
      <c r="M25" s="23"/>
      <c r="N25" s="23"/>
      <c r="O25" s="18"/>
      <c r="P25" s="18"/>
      <c r="S25" s="1" t="s">
        <v>88</v>
      </c>
    </row>
    <row r="26" spans="2:19" ht="30" customHeight="1">
      <c r="B26" s="48"/>
      <c r="C26" s="49" t="s">
        <v>89</v>
      </c>
      <c r="D26" s="49" t="s">
        <v>90</v>
      </c>
      <c r="E26" s="46" t="s">
        <v>91</v>
      </c>
      <c r="F26" s="48"/>
      <c r="G26" s="46" t="s">
        <v>91</v>
      </c>
      <c r="H26" s="45"/>
      <c r="I26" s="47"/>
      <c r="J26" s="23"/>
      <c r="K26" s="23"/>
      <c r="L26" s="23"/>
      <c r="M26" s="23"/>
      <c r="N26" s="23"/>
      <c r="O26" s="18"/>
      <c r="P26" s="18"/>
    </row>
    <row r="27" spans="2:19" ht="30" customHeight="1">
      <c r="B27" s="31"/>
      <c r="C27" s="31">
        <v>5</v>
      </c>
      <c r="D27" s="31"/>
      <c r="E27" s="31">
        <v>5</v>
      </c>
      <c r="F27" s="31"/>
      <c r="G27" s="31"/>
      <c r="H27" s="33"/>
      <c r="I27" s="31"/>
      <c r="J27" s="23"/>
      <c r="K27" s="23"/>
      <c r="L27" s="23"/>
      <c r="M27" s="23"/>
      <c r="N27" s="23"/>
      <c r="O27" s="18"/>
      <c r="P27" s="18"/>
    </row>
    <row r="28" spans="2:19" ht="30" customHeight="1">
      <c r="B28" s="31"/>
      <c r="C28" s="31">
        <v>5</v>
      </c>
      <c r="D28" s="31"/>
      <c r="E28" s="31">
        <v>3</v>
      </c>
      <c r="F28" s="31"/>
      <c r="G28" s="31"/>
      <c r="H28" s="33"/>
      <c r="I28" s="31"/>
      <c r="J28" s="23"/>
      <c r="K28" s="23"/>
      <c r="L28" s="23"/>
      <c r="M28" s="23"/>
      <c r="N28" s="23"/>
      <c r="O28" s="18"/>
      <c r="P28" s="18"/>
    </row>
    <row r="29" spans="2:19" ht="30" customHeight="1">
      <c r="B29" s="31"/>
      <c r="C29" s="31">
        <v>5</v>
      </c>
      <c r="D29" s="31"/>
      <c r="E29" s="31">
        <v>3</v>
      </c>
      <c r="F29" s="31"/>
      <c r="G29" s="31"/>
      <c r="H29" s="33"/>
      <c r="I29" s="31"/>
      <c r="J29" s="23"/>
      <c r="K29" s="23"/>
      <c r="L29" s="23"/>
      <c r="M29" s="23"/>
      <c r="N29" s="23"/>
      <c r="O29" s="18"/>
      <c r="P29" s="18"/>
    </row>
    <row r="30" spans="2:19" ht="30" customHeight="1">
      <c r="B30" s="31"/>
      <c r="C30" s="31">
        <v>3</v>
      </c>
      <c r="D30" s="31"/>
      <c r="E30" s="31">
        <v>3</v>
      </c>
      <c r="F30" s="31"/>
      <c r="G30" s="31"/>
      <c r="H30" s="33"/>
      <c r="I30" s="31"/>
      <c r="J30" s="23"/>
      <c r="K30" s="23"/>
      <c r="L30" s="23"/>
      <c r="M30" s="23"/>
      <c r="N30" s="23"/>
      <c r="O30" s="18"/>
      <c r="P30" s="18"/>
    </row>
    <row r="31" spans="2:19" ht="30" customHeight="1">
      <c r="B31" s="31"/>
      <c r="C31" s="31">
        <v>3</v>
      </c>
      <c r="D31" s="31"/>
      <c r="E31" s="31">
        <v>3</v>
      </c>
      <c r="F31" s="31"/>
      <c r="G31" s="31"/>
      <c r="H31" s="33"/>
      <c r="I31" s="31"/>
      <c r="J31" s="23"/>
      <c r="K31" s="23"/>
      <c r="L31" s="23"/>
      <c r="M31" s="23"/>
      <c r="N31" s="23"/>
      <c r="O31" s="18"/>
      <c r="P31" s="18"/>
    </row>
    <row r="32" spans="2:19" ht="30" customHeight="1">
      <c r="B32" s="31"/>
      <c r="C32" s="31">
        <v>3</v>
      </c>
      <c r="D32" s="31"/>
      <c r="E32" s="31">
        <v>5</v>
      </c>
      <c r="F32" s="31"/>
      <c r="G32" s="31"/>
      <c r="H32" s="33"/>
      <c r="I32" s="31"/>
      <c r="J32" s="23"/>
      <c r="K32" s="23"/>
      <c r="L32" s="23"/>
      <c r="M32" s="23"/>
      <c r="N32" s="23"/>
      <c r="O32" s="18"/>
      <c r="P32" s="18"/>
    </row>
    <row r="33" spans="2:16" ht="30" customHeight="1">
      <c r="B33" s="31"/>
      <c r="C33" s="31">
        <v>8</v>
      </c>
      <c r="D33" s="31"/>
      <c r="E33" s="31">
        <v>5</v>
      </c>
      <c r="F33" s="31"/>
      <c r="G33" s="31"/>
      <c r="H33" s="33"/>
      <c r="I33" s="31"/>
      <c r="J33" s="23"/>
      <c r="K33" s="23"/>
      <c r="L33" s="23"/>
      <c r="M33" s="23"/>
      <c r="N33" s="23"/>
      <c r="O33" s="18"/>
      <c r="P33" s="18"/>
    </row>
    <row r="34" spans="2:16" ht="30" customHeight="1">
      <c r="B34" s="31"/>
      <c r="C34" s="31">
        <v>3</v>
      </c>
      <c r="D34" s="31"/>
      <c r="E34" s="31">
        <v>3</v>
      </c>
      <c r="F34" s="31"/>
      <c r="G34" s="31"/>
      <c r="H34" s="33"/>
      <c r="I34" s="31"/>
      <c r="J34" s="23"/>
      <c r="K34" s="23"/>
      <c r="L34" s="23"/>
      <c r="M34" s="23"/>
      <c r="N34" s="23"/>
      <c r="O34" s="18"/>
      <c r="P34" s="18"/>
    </row>
    <row r="35" spans="2:16" ht="30" customHeight="1">
      <c r="B35" s="31"/>
      <c r="C35" s="31">
        <v>5</v>
      </c>
      <c r="D35" s="31"/>
      <c r="E35" s="31">
        <v>5</v>
      </c>
      <c r="F35" s="31"/>
      <c r="G35" s="31"/>
      <c r="H35" s="33"/>
      <c r="I35" s="31"/>
      <c r="J35" s="23"/>
      <c r="K35" s="23"/>
      <c r="L35" s="23"/>
      <c r="M35" s="23"/>
      <c r="N35" s="23"/>
      <c r="O35" s="18"/>
      <c r="P35" s="18"/>
    </row>
    <row r="36" spans="2:16" ht="30" customHeight="1">
      <c r="B36" s="31"/>
      <c r="C36" s="31">
        <v>3</v>
      </c>
      <c r="D36" s="31"/>
      <c r="E36" s="31">
        <v>3</v>
      </c>
      <c r="F36" s="31"/>
      <c r="G36" s="31"/>
      <c r="H36" s="33"/>
      <c r="I36" s="31"/>
      <c r="J36" s="23"/>
      <c r="K36" s="23"/>
      <c r="L36" s="23"/>
      <c r="M36" s="23"/>
      <c r="N36" s="23"/>
      <c r="O36" s="18"/>
      <c r="P36" s="18"/>
    </row>
    <row r="37" spans="2:16" ht="30" customHeight="1">
      <c r="B37" s="31"/>
      <c r="C37" s="31">
        <v>2</v>
      </c>
      <c r="D37" s="31"/>
      <c r="E37" s="31">
        <v>3</v>
      </c>
      <c r="F37" s="31"/>
      <c r="G37" s="31"/>
      <c r="H37" s="33"/>
      <c r="I37" s="31"/>
      <c r="J37" s="23"/>
      <c r="K37" s="23"/>
      <c r="L37" s="23"/>
      <c r="M37" s="23"/>
      <c r="N37" s="23"/>
      <c r="O37" s="18"/>
      <c r="P37" s="18"/>
    </row>
    <row r="38" spans="2:16" ht="30" customHeight="1">
      <c r="B38" s="31"/>
      <c r="C38" s="31">
        <v>3</v>
      </c>
      <c r="D38" s="31"/>
      <c r="E38" s="31">
        <v>3</v>
      </c>
      <c r="F38" s="31"/>
      <c r="G38" s="31"/>
      <c r="H38" s="33"/>
      <c r="I38" s="31"/>
      <c r="J38" s="23"/>
      <c r="K38" s="23"/>
      <c r="L38" s="23"/>
      <c r="M38" s="23"/>
      <c r="N38" s="23"/>
      <c r="O38" s="18"/>
      <c r="P38" s="18"/>
    </row>
    <row r="39" spans="2:16" ht="34.9" hidden="1" customHeight="1">
      <c r="B39" s="10" t="s">
        <v>92</v>
      </c>
      <c r="C39" s="20"/>
      <c r="D39" s="20">
        <f>SUBTOTAL(109,Ingresos5[Tiempo sp 1])</f>
        <v>0</v>
      </c>
      <c r="E39" s="20">
        <f>SUBTOTAL(109,Ingresos5[Mar])</f>
        <v>44</v>
      </c>
      <c r="F39" s="20"/>
      <c r="G39" s="20">
        <f>SUBTOTAL(109,Ingresos5[Tiempo sp2])</f>
        <v>0</v>
      </c>
      <c r="H39" s="30">
        <f>SUBTOTAL(109,Ingresos5[(07/Mayo/2026)-(21/Mayo/2026)])</f>
        <v>0</v>
      </c>
      <c r="I39" s="20">
        <f>SUBTOTAL(109,Ingresos5[Tiempo sp3])</f>
        <v>0</v>
      </c>
      <c r="J39" s="20">
        <f>SUBTOTAL(109,Ingresos5[Ago])</f>
        <v>0</v>
      </c>
      <c r="K39" s="20">
        <f>SUBTOTAL(109,Ingresos5[Sep])</f>
        <v>0</v>
      </c>
      <c r="L39" s="20">
        <f>SUBTOTAL(109,Ingresos5[Oct])</f>
        <v>0</v>
      </c>
      <c r="M39" s="20">
        <f>SUBTOTAL(109,Ingresos5[Nov])</f>
        <v>0</v>
      </c>
      <c r="N39" s="20">
        <f>SUBTOTAL(109,Ingresos5[Dic])</f>
        <v>0</v>
      </c>
      <c r="O39" s="20"/>
      <c r="P39" s="20"/>
    </row>
    <row r="40" spans="2:16" ht="63.75" customHeight="1"/>
    <row r="41" spans="2:16" ht="63.75" hidden="1" customHeight="1"/>
    <row r="42" spans="2:16" ht="60" hidden="1" customHeight="1">
      <c r="B42" s="13" t="s">
        <v>93</v>
      </c>
      <c r="C42" s="8"/>
      <c r="D42" s="8"/>
      <c r="E42" s="8"/>
      <c r="F42" s="8"/>
      <c r="G42" s="8"/>
      <c r="H42" s="27"/>
      <c r="I42" s="8"/>
      <c r="J42" s="8"/>
      <c r="K42" s="8"/>
      <c r="L42" s="8"/>
      <c r="M42" s="8"/>
      <c r="N42" s="8"/>
      <c r="O42" s="8"/>
      <c r="P42" s="8"/>
    </row>
    <row r="43" spans="2:16" ht="34.9" hidden="1" customHeight="1">
      <c r="B43" s="14" t="s">
        <v>94</v>
      </c>
      <c r="C43" s="14" t="s">
        <v>34</v>
      </c>
      <c r="D43" s="15" t="s">
        <v>47</v>
      </c>
      <c r="E43" s="15" t="s">
        <v>36</v>
      </c>
      <c r="F43" s="15" t="s">
        <v>95</v>
      </c>
      <c r="G43" s="15" t="s">
        <v>96</v>
      </c>
      <c r="H43" s="28" t="s">
        <v>97</v>
      </c>
      <c r="I43" s="15" t="s">
        <v>98</v>
      </c>
      <c r="J43" s="15" t="s">
        <v>41</v>
      </c>
      <c r="K43" s="15" t="s">
        <v>42</v>
      </c>
      <c r="L43" s="15" t="s">
        <v>43</v>
      </c>
      <c r="M43" s="15" t="s">
        <v>44</v>
      </c>
      <c r="N43" s="15" t="s">
        <v>45</v>
      </c>
      <c r="O43" s="15" t="s">
        <v>46</v>
      </c>
      <c r="P43" s="15" t="s">
        <v>99</v>
      </c>
    </row>
    <row r="44" spans="2:16" ht="30" hidden="1" customHeight="1">
      <c r="B44" s="9" t="s">
        <v>100</v>
      </c>
      <c r="C44" s="18"/>
      <c r="D44" s="19"/>
      <c r="E44" s="19"/>
      <c r="F44" s="19"/>
      <c r="G44" s="19"/>
      <c r="H44" s="29"/>
      <c r="I44" s="19"/>
      <c r="J44" s="19"/>
      <c r="K44" s="19"/>
      <c r="L44" s="19"/>
      <c r="M44" s="19"/>
      <c r="N44" s="19"/>
      <c r="O44" s="18"/>
      <c r="P44" s="18"/>
    </row>
    <row r="45" spans="2:16" ht="30" hidden="1" customHeight="1">
      <c r="B45" s="9" t="s">
        <v>101</v>
      </c>
      <c r="C45" s="18"/>
      <c r="D45" s="19"/>
      <c r="E45" s="19"/>
      <c r="F45" s="19"/>
      <c r="G45" s="19"/>
      <c r="H45" s="29"/>
      <c r="I45" s="19"/>
      <c r="J45" s="19"/>
      <c r="K45" s="19"/>
      <c r="L45" s="19"/>
      <c r="M45" s="19"/>
      <c r="N45" s="19"/>
      <c r="O45" s="18"/>
      <c r="P45" s="18"/>
    </row>
    <row r="46" spans="2:16" ht="30" hidden="1" customHeight="1">
      <c r="B46" s="9" t="s">
        <v>102</v>
      </c>
      <c r="C46" s="18"/>
      <c r="D46" s="19"/>
      <c r="E46" s="19"/>
      <c r="F46" s="19"/>
      <c r="G46" s="19"/>
      <c r="H46" s="29"/>
      <c r="I46" s="19"/>
      <c r="J46" s="19"/>
      <c r="K46" s="19"/>
      <c r="L46" s="19"/>
      <c r="M46" s="19"/>
      <c r="N46" s="19"/>
      <c r="O46" s="18"/>
      <c r="P46" s="18"/>
    </row>
    <row r="47" spans="2:16" ht="30" hidden="1" customHeight="1">
      <c r="B47" s="9" t="s">
        <v>103</v>
      </c>
      <c r="C47" s="18"/>
      <c r="D47" s="19"/>
      <c r="E47" s="19"/>
      <c r="F47" s="19"/>
      <c r="G47" s="19"/>
      <c r="H47" s="29"/>
      <c r="I47" s="19"/>
      <c r="J47" s="19"/>
      <c r="K47" s="19"/>
      <c r="L47" s="19"/>
      <c r="M47" s="19"/>
      <c r="N47" s="19"/>
      <c r="O47" s="18"/>
      <c r="P47" s="18"/>
    </row>
    <row r="48" spans="2:16" ht="30" hidden="1" customHeight="1">
      <c r="B48" s="9" t="s">
        <v>104</v>
      </c>
      <c r="C48" s="18"/>
      <c r="D48" s="19"/>
      <c r="E48" s="19"/>
      <c r="F48" s="19"/>
      <c r="G48" s="19"/>
      <c r="H48" s="29"/>
      <c r="I48" s="19"/>
      <c r="J48" s="19"/>
      <c r="K48" s="19"/>
      <c r="L48" s="19"/>
      <c r="M48" s="19"/>
      <c r="N48" s="19"/>
      <c r="O48" s="18"/>
      <c r="P48" s="18"/>
    </row>
    <row r="49" spans="2:16" ht="30" hidden="1" customHeight="1">
      <c r="B49" s="9" t="s">
        <v>105</v>
      </c>
      <c r="C49" s="18"/>
      <c r="D49" s="19"/>
      <c r="E49" s="19"/>
      <c r="F49" s="19"/>
      <c r="G49" s="19"/>
      <c r="H49" s="29"/>
      <c r="I49" s="19"/>
      <c r="J49" s="19"/>
      <c r="K49" s="19"/>
      <c r="L49" s="19"/>
      <c r="M49" s="19"/>
      <c r="N49" s="19"/>
      <c r="O49" s="18"/>
      <c r="P49" s="18"/>
    </row>
    <row r="50" spans="2:16" ht="30" hidden="1" customHeight="1">
      <c r="B50" s="9" t="s">
        <v>106</v>
      </c>
      <c r="C50" s="18"/>
      <c r="D50" s="19"/>
      <c r="E50" s="19"/>
      <c r="F50" s="19"/>
      <c r="G50" s="19"/>
      <c r="H50" s="29"/>
      <c r="I50" s="19"/>
      <c r="J50" s="19"/>
      <c r="K50" s="19"/>
      <c r="L50" s="19"/>
      <c r="M50" s="19"/>
      <c r="N50" s="19"/>
      <c r="O50" s="18"/>
      <c r="P50" s="18"/>
    </row>
    <row r="51" spans="2:16" ht="30" hidden="1" customHeight="1">
      <c r="B51" s="9" t="s">
        <v>107</v>
      </c>
      <c r="C51" s="18"/>
      <c r="D51" s="19"/>
      <c r="E51" s="19"/>
      <c r="F51" s="19"/>
      <c r="G51" s="19"/>
      <c r="H51" s="29"/>
      <c r="I51" s="19"/>
      <c r="J51" s="19"/>
      <c r="K51" s="19"/>
      <c r="L51" s="19"/>
      <c r="M51" s="19"/>
      <c r="N51" s="19"/>
      <c r="O51" s="18"/>
      <c r="P51" s="18"/>
    </row>
    <row r="52" spans="2:16" ht="30" hidden="1" customHeight="1">
      <c r="B52" s="9" t="s">
        <v>108</v>
      </c>
      <c r="C52" s="18"/>
      <c r="D52" s="19"/>
      <c r="E52" s="19"/>
      <c r="F52" s="19"/>
      <c r="G52" s="19"/>
      <c r="H52" s="29"/>
      <c r="I52" s="19"/>
      <c r="J52" s="19"/>
      <c r="K52" s="19"/>
      <c r="L52" s="19"/>
      <c r="M52" s="19"/>
      <c r="N52" s="19"/>
      <c r="O52" s="18"/>
      <c r="P52" s="18"/>
    </row>
    <row r="53" spans="2:16" ht="30" hidden="1" customHeight="1">
      <c r="B53" s="9" t="s">
        <v>109</v>
      </c>
      <c r="C53" s="18"/>
      <c r="D53" s="19"/>
      <c r="E53" s="19"/>
      <c r="F53" s="19"/>
      <c r="G53" s="19"/>
      <c r="H53" s="29"/>
      <c r="I53" s="19"/>
      <c r="J53" s="19"/>
      <c r="K53" s="19"/>
      <c r="L53" s="19"/>
      <c r="M53" s="19"/>
      <c r="N53" s="19"/>
      <c r="O53" s="18"/>
      <c r="P53" s="18"/>
    </row>
    <row r="54" spans="2:16" ht="30" hidden="1" customHeight="1">
      <c r="B54" s="9" t="s">
        <v>110</v>
      </c>
      <c r="C54" s="18"/>
      <c r="D54" s="19"/>
      <c r="E54" s="19"/>
      <c r="F54" s="19"/>
      <c r="G54" s="19"/>
      <c r="H54" s="29"/>
      <c r="I54" s="19"/>
      <c r="J54" s="19"/>
      <c r="K54" s="19"/>
      <c r="L54" s="19"/>
      <c r="M54" s="19"/>
      <c r="N54" s="19"/>
      <c r="O54" s="18"/>
      <c r="P54" s="18"/>
    </row>
    <row r="55" spans="2:16" ht="30" hidden="1" customHeight="1">
      <c r="B55" s="9" t="s">
        <v>111</v>
      </c>
      <c r="C55" s="18"/>
      <c r="D55" s="19"/>
      <c r="E55" s="19"/>
      <c r="F55" s="19"/>
      <c r="G55" s="19"/>
      <c r="H55" s="29"/>
      <c r="I55" s="19"/>
      <c r="J55" s="19"/>
      <c r="K55" s="19"/>
      <c r="L55" s="19"/>
      <c r="M55" s="19"/>
      <c r="N55" s="19"/>
      <c r="O55" s="18"/>
      <c r="P55" s="18"/>
    </row>
    <row r="56" spans="2:16" ht="30" hidden="1" customHeight="1">
      <c r="B56" s="9" t="s">
        <v>112</v>
      </c>
      <c r="C56" s="18"/>
      <c r="D56" s="19"/>
      <c r="E56" s="19"/>
      <c r="F56" s="19"/>
      <c r="G56" s="19"/>
      <c r="H56" s="29"/>
      <c r="I56" s="19"/>
      <c r="J56" s="19"/>
      <c r="K56" s="19"/>
      <c r="L56" s="19"/>
      <c r="M56" s="19"/>
      <c r="N56" s="19"/>
      <c r="O56" s="18"/>
      <c r="P56" s="18"/>
    </row>
    <row r="57" spans="2:16" ht="30" hidden="1" customHeight="1">
      <c r="B57" s="9" t="s">
        <v>113</v>
      </c>
      <c r="C57" s="18"/>
      <c r="D57" s="19"/>
      <c r="E57" s="19"/>
      <c r="F57" s="19"/>
      <c r="G57" s="19"/>
      <c r="H57" s="29"/>
      <c r="I57" s="19"/>
      <c r="J57" s="19"/>
      <c r="K57" s="19"/>
      <c r="L57" s="19"/>
      <c r="M57" s="19"/>
      <c r="N57" s="19"/>
      <c r="O57" s="18"/>
      <c r="P57" s="18"/>
    </row>
    <row r="58" spans="2:16" ht="30" hidden="1" customHeight="1">
      <c r="B58" s="9" t="s">
        <v>114</v>
      </c>
      <c r="C58" s="21"/>
      <c r="D58" s="19"/>
      <c r="E58" s="19"/>
      <c r="F58" s="19"/>
      <c r="G58" s="19"/>
      <c r="H58" s="29"/>
      <c r="I58" s="19"/>
      <c r="J58" s="19"/>
      <c r="K58" s="19"/>
      <c r="L58" s="19"/>
      <c r="M58" s="19"/>
      <c r="N58" s="19"/>
      <c r="O58" s="18"/>
      <c r="P58" s="18"/>
    </row>
    <row r="59" spans="2:16" ht="30" hidden="1" customHeight="1">
      <c r="B59" s="9" t="s">
        <v>115</v>
      </c>
      <c r="C59" s="21"/>
      <c r="D59" s="19"/>
      <c r="E59" s="19"/>
      <c r="F59" s="19"/>
      <c r="G59" s="19"/>
      <c r="H59" s="29"/>
      <c r="I59" s="19"/>
      <c r="J59" s="19"/>
      <c r="K59" s="19"/>
      <c r="L59" s="19"/>
      <c r="M59" s="19"/>
      <c r="N59" s="19"/>
      <c r="O59" s="18"/>
      <c r="P59" s="18"/>
    </row>
    <row r="60" spans="2:16" ht="30" hidden="1" customHeight="1">
      <c r="B60" s="9" t="s">
        <v>116</v>
      </c>
      <c r="C60" s="21"/>
      <c r="D60" s="19"/>
      <c r="E60" s="19"/>
      <c r="F60" s="19"/>
      <c r="G60" s="19"/>
      <c r="H60" s="29"/>
      <c r="I60" s="19"/>
      <c r="J60" s="19"/>
      <c r="K60" s="19"/>
      <c r="L60" s="19"/>
      <c r="M60" s="19"/>
      <c r="N60" s="19"/>
      <c r="O60" s="18"/>
      <c r="P60" s="18"/>
    </row>
    <row r="61" spans="2:16" ht="30" hidden="1" customHeight="1">
      <c r="B61" s="10" t="s">
        <v>92</v>
      </c>
      <c r="C61" s="20"/>
      <c r="D61" s="20">
        <f>SUBTOTAL(109,Gastos4[Feb])</f>
        <v>0</v>
      </c>
      <c r="E61" s="20">
        <f>SUBTOTAL(109,Gastos4[Mar])</f>
        <v>0</v>
      </c>
      <c r="F61" s="20"/>
      <c r="G61" s="20">
        <f>SUBTOTAL(109,Gastos4[May])</f>
        <v>0</v>
      </c>
      <c r="H61" s="30">
        <f>SUBTOTAL(109,Gastos4[Jun])</f>
        <v>0</v>
      </c>
      <c r="I61" s="20">
        <f>SUBTOTAL(109,Gastos4[Jul])</f>
        <v>0</v>
      </c>
      <c r="J61" s="20">
        <f>SUBTOTAL(109,Gastos4[Ago])</f>
        <v>0</v>
      </c>
      <c r="K61" s="20">
        <f>SUBTOTAL(109,Gastos4[Sep])</f>
        <v>0</v>
      </c>
      <c r="L61" s="20">
        <f>SUBTOTAL(109,Gastos4[Oct])</f>
        <v>0</v>
      </c>
      <c r="M61" s="20">
        <f>SUBTOTAL(109,Gastos4[Nov])</f>
        <v>0</v>
      </c>
      <c r="N61" s="20">
        <f>SUBTOTAL(109,Gastos4[Dic])</f>
        <v>0</v>
      </c>
      <c r="O61" s="20"/>
      <c r="P61" s="20"/>
    </row>
    <row r="62" spans="2:16" ht="30" hidden="1" customHeight="1"/>
    <row r="63" spans="2:16" ht="30" hidden="1" customHeight="1"/>
    <row r="64" spans="2:16" ht="30" hidden="1" customHeight="1"/>
    <row r="65" ht="30" hidden="1" customHeight="1"/>
    <row r="66" ht="30" hidden="1" customHeight="1"/>
    <row r="67" ht="30" hidden="1" customHeight="1"/>
    <row r="68" ht="30" hidden="1" customHeight="1"/>
    <row r="69" ht="30" hidden="1" customHeight="1"/>
    <row r="70" ht="30" hidden="1" customHeight="1"/>
    <row r="71" ht="30" hidden="1" customHeight="1"/>
    <row r="72" ht="30" hidden="1" customHeight="1"/>
    <row r="73" ht="30" hidden="1" customHeight="1"/>
    <row r="74" ht="30" hidden="1" customHeight="1"/>
    <row r="75" ht="30" hidden="1" customHeight="1"/>
    <row r="76" ht="30" hidden="1" customHeight="1"/>
    <row r="77" ht="30" hidden="1" customHeight="1"/>
    <row r="78" ht="30" hidden="1" customHeight="1"/>
    <row r="79" ht="30" hidden="1" customHeight="1"/>
    <row r="80" ht="30" hidden="1" customHeight="1"/>
    <row r="81" ht="30" hidden="1" customHeight="1"/>
    <row r="82" ht="30" hidden="1" customHeight="1"/>
    <row r="83" ht="30" hidden="1" customHeight="1"/>
    <row r="84" ht="30" hidden="1" customHeight="1"/>
    <row r="85" ht="30" hidden="1" customHeight="1"/>
    <row r="86" ht="30" hidden="1" customHeight="1"/>
    <row r="87" ht="30" hidden="1" customHeight="1"/>
    <row r="88" ht="30" hidden="1" customHeight="1"/>
    <row r="89" ht="30" hidden="1" customHeight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</sheetData>
  <dataValidations count="9">
    <dataValidation allowBlank="1" showInputMessage="1" showErrorMessage="1" prompt="El título de esta hoja de cálculo se encuentra en esta celda. Escriba los ingresos mensuales en la tabla Ingresos y los gastos mensuales en la tabla Gastos" sqref="B2" xr:uid="{84132FED-8C3E-410D-ABD4-B344E0AB1952}"/>
    <dataValidation allowBlank="1" showInputMessage="1" showErrorMessage="1" prompt="Escriba los elementos de gastos mensuales en la columna con este encabezado" sqref="B43" xr:uid="{912478A5-0E10-4312-BF62-C6DC34B879FF}"/>
    <dataValidation allowBlank="1" showInputMessage="1" showErrorMessage="1" prompt="Escriba el importe en esta columna con este título" sqref="C43 C15" xr:uid="{062A85C2-7923-487A-BB0F-98CE20A1CB17}"/>
    <dataValidation allowBlank="1" showInputMessage="1" showErrorMessage="1" prompt="Escriba los elementos de ingresos mensuales en la columna con este encabezado" sqref="B15" xr:uid="{E84A0F1D-49E5-4696-94DC-C63B5D2E1E60}"/>
    <dataValidation allowBlank="1" showInputMessage="1" showErrorMessage="1" prompt="El valor de Total de ingresos mensuales se actualiza automáticamente en esta celda." sqref="C5 E5 C7 C9 C11" xr:uid="{8E87CC9A-0B8D-4C67-AFDC-60D140FF790B}"/>
    <dataValidation allowBlank="1" showInputMessage="1" showErrorMessage="1" prompt="El valor de Total de ingresos mensuales se actualiza automáticamente en la celda de la derecha." sqref="B5 D5 B7 D7 B9 D9 B11 D11" xr:uid="{E1CB4FE5-B5EC-4077-A7F6-55361F9139A7}"/>
    <dataValidation allowBlank="1" showInputMessage="1" showErrorMessage="1" prompt="El valor de Total de gastos mensuales se actualiza automáticamente en esta celda." sqref="E6:E12 C6 C8 C10 C12" xr:uid="{FEF71C54-9A52-4ABE-9D2C-CCB4A6452A9E}"/>
    <dataValidation allowBlank="1" showInputMessage="1" showErrorMessage="1" prompt="El valor de Total de gastos mensuales se actualiza automáticamente en la celda de la derecha." sqref="D6 B6 B8 D8 D10 B10 B12 D12" xr:uid="{397A1E1C-B3ED-4A57-A3A1-60E295EE364B}"/>
    <dataValidation allowBlank="1" showInputMessage="1" showErrorMessage="1" prompt="El total de ingresos mensuales y el total de gastos mensuales se actualizan automáticamente en las celdas siguientes" sqref="C4 E4" xr:uid="{8D0DFDC3-A98D-4AFB-9267-D3D00521B997}"/>
  </dataValidations>
  <pageMargins left="0.7" right="0.7" top="0.75" bottom="0.75" header="0.3" footer="0.3"/>
  <pageSetup paperSize="9" scale="56" fitToHeight="2" orientation="landscape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B08A-20B6-4BBC-80F9-E1108E0390AA}">
  <sheetPr codeName="Sheet1">
    <tabColor theme="4"/>
    <pageSetUpPr fitToPage="1"/>
  </sheetPr>
  <dimension ref="B1:Q104"/>
  <sheetViews>
    <sheetView showGridLines="0" tabSelected="1" topLeftCell="B10" workbookViewId="0">
      <selection activeCell="G16" sqref="G16"/>
    </sheetView>
  </sheetViews>
  <sheetFormatPr defaultColWidth="8.875" defaultRowHeight="16.5"/>
  <cols>
    <col min="1" max="1" width="4.75" style="1" customWidth="1"/>
    <col min="2" max="2" width="45.625" style="1" customWidth="1"/>
    <col min="3" max="3" width="13.75" style="1" hidden="1" customWidth="1"/>
    <col min="4" max="4" width="35.5" style="1" customWidth="1"/>
    <col min="5" max="5" width="0.75" style="1" customWidth="1"/>
    <col min="6" max="6" width="30.625" style="1" customWidth="1"/>
    <col min="7" max="7" width="29.25" style="1" customWidth="1"/>
    <col min="8" max="8" width="19.375" style="24" customWidth="1"/>
    <col min="9" max="9" width="16" style="1" customWidth="1"/>
    <col min="10" max="15" width="11.375" style="1" hidden="1" customWidth="1"/>
    <col min="16" max="16" width="15.25" style="1" hidden="1" customWidth="1"/>
    <col min="17" max="17" width="6.625" style="1" customWidth="1"/>
    <col min="18" max="16384" width="8.875" style="1"/>
  </cols>
  <sheetData>
    <row r="1" spans="2:16" ht="25.15" customHeight="1"/>
    <row r="2" spans="2:16" ht="60" customHeight="1" thickBot="1">
      <c r="B2" s="11" t="s">
        <v>117</v>
      </c>
      <c r="C2" s="2"/>
      <c r="D2" s="2"/>
      <c r="E2" s="2"/>
      <c r="F2" s="2"/>
      <c r="G2" s="2"/>
      <c r="H2" s="25"/>
      <c r="I2" s="2"/>
      <c r="J2" s="2"/>
      <c r="K2" s="2"/>
      <c r="L2" s="2"/>
      <c r="M2" s="2"/>
      <c r="N2" s="2"/>
      <c r="O2" s="2"/>
      <c r="P2" s="2"/>
    </row>
    <row r="3" spans="2:16" ht="19.899999999999999" customHeight="1" thickTop="1" thickBot="1">
      <c r="B3" s="3"/>
      <c r="C3" s="4"/>
      <c r="D3" s="5"/>
      <c r="E3" s="5"/>
      <c r="F3" s="5"/>
      <c r="G3" s="5"/>
      <c r="H3" s="26"/>
      <c r="I3" s="5"/>
      <c r="J3" s="5"/>
      <c r="K3" s="5"/>
      <c r="L3" s="5"/>
      <c r="M3" s="5"/>
      <c r="N3" s="5"/>
      <c r="O3" s="5"/>
      <c r="P3" s="5"/>
    </row>
    <row r="4" spans="2:16" ht="34.9" customHeight="1">
      <c r="B4" s="12" t="s">
        <v>30</v>
      </c>
      <c r="C4" s="6"/>
      <c r="D4" s="12" t="s">
        <v>31</v>
      </c>
      <c r="E4" s="6"/>
    </row>
    <row r="5" spans="2:16" ht="30" customHeight="1">
      <c r="B5" s="34">
        <v>0</v>
      </c>
      <c r="C5" s="35"/>
      <c r="D5" s="34">
        <v>0</v>
      </c>
      <c r="E5" s="16">
        <f>Ingresos[[#Totals],[Ene]]</f>
        <v>0</v>
      </c>
    </row>
    <row r="6" spans="2:16" ht="30" customHeight="1">
      <c r="B6" s="36">
        <v>0.5</v>
      </c>
      <c r="C6" s="37"/>
      <c r="D6" s="38">
        <v>1</v>
      </c>
      <c r="E6" s="17">
        <f>Gastos[[#Totals],[Ene]]</f>
        <v>0</v>
      </c>
    </row>
    <row r="7" spans="2:16" ht="30" customHeight="1">
      <c r="B7" s="34">
        <v>1</v>
      </c>
      <c r="C7" s="35"/>
      <c r="D7" s="34">
        <v>1</v>
      </c>
      <c r="E7" s="22"/>
    </row>
    <row r="8" spans="2:16" ht="30" customHeight="1">
      <c r="B8" s="38">
        <v>2</v>
      </c>
      <c r="C8" s="37"/>
      <c r="D8" s="38">
        <v>2</v>
      </c>
      <c r="E8" s="22"/>
    </row>
    <row r="9" spans="2:16" ht="30" customHeight="1">
      <c r="B9" s="34">
        <v>3</v>
      </c>
      <c r="C9" s="35"/>
      <c r="D9" s="34">
        <v>3</v>
      </c>
      <c r="E9" s="22"/>
    </row>
    <row r="10" spans="2:16" ht="30" customHeight="1">
      <c r="B10" s="38">
        <v>5</v>
      </c>
      <c r="C10" s="37"/>
      <c r="D10" s="38">
        <v>4</v>
      </c>
      <c r="E10" s="22"/>
    </row>
    <row r="11" spans="2:16" ht="30" customHeight="1">
      <c r="B11" s="34">
        <v>8</v>
      </c>
      <c r="C11" s="35"/>
      <c r="D11" s="34">
        <v>5</v>
      </c>
      <c r="E11" s="22"/>
    </row>
    <row r="12" spans="2:16" ht="30" customHeight="1">
      <c r="B12" s="38" t="s">
        <v>32</v>
      </c>
      <c r="C12" s="37"/>
      <c r="D12" s="38">
        <v>5</v>
      </c>
      <c r="E12" s="22"/>
    </row>
    <row r="13" spans="2:16" ht="19.899999999999999" customHeight="1">
      <c r="C13" s="7"/>
    </row>
    <row r="14" spans="2:16" ht="60" customHeight="1">
      <c r="B14" s="13"/>
      <c r="C14" s="8"/>
      <c r="D14" s="8"/>
      <c r="E14" s="8"/>
      <c r="F14" s="8"/>
      <c r="G14" s="8"/>
      <c r="H14" s="27"/>
      <c r="I14" s="8"/>
      <c r="J14" s="8"/>
      <c r="K14" s="8"/>
      <c r="L14" s="8"/>
      <c r="M14" s="8"/>
      <c r="N14" s="8"/>
      <c r="O14" s="8"/>
      <c r="P14" s="8"/>
    </row>
    <row r="15" spans="2:16" ht="34.9" customHeight="1">
      <c r="B15" s="14" t="s">
        <v>118</v>
      </c>
      <c r="C15" s="14" t="s">
        <v>34</v>
      </c>
      <c r="D15" s="15" t="s">
        <v>119</v>
      </c>
      <c r="E15" s="15" t="s">
        <v>36</v>
      </c>
      <c r="F15" s="15" t="s">
        <v>120</v>
      </c>
      <c r="G15" s="15" t="s">
        <v>121</v>
      </c>
      <c r="H15" s="28" t="s">
        <v>122</v>
      </c>
      <c r="I15" s="15" t="s">
        <v>123</v>
      </c>
      <c r="J15" s="15" t="s">
        <v>41</v>
      </c>
      <c r="K15" s="15" t="s">
        <v>42</v>
      </c>
      <c r="L15" s="15" t="s">
        <v>43</v>
      </c>
      <c r="M15" s="15" t="s">
        <v>44</v>
      </c>
      <c r="N15" s="15" t="s">
        <v>45</v>
      </c>
      <c r="O15" s="15" t="s">
        <v>46</v>
      </c>
      <c r="P15" s="15" t="s">
        <v>47</v>
      </c>
    </row>
    <row r="16" spans="2:16" ht="30" customHeight="1">
      <c r="B16" s="31" t="s">
        <v>51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2">
        <f>AVERAGE(Ingresos[[#This Row],[Desarrolador (Juan José Bolívar)]:[Desarrollador 3 (Hanna Valencia]])</f>
        <v>3</v>
      </c>
      <c r="I16" s="31">
        <v>3</v>
      </c>
      <c r="J16" s="19"/>
      <c r="K16" s="19"/>
      <c r="L16" s="19"/>
      <c r="M16" s="19"/>
      <c r="N16" s="19"/>
      <c r="O16" s="18"/>
      <c r="P16" s="18"/>
    </row>
    <row r="17" spans="2:16" ht="30" customHeight="1">
      <c r="B17" s="31" t="s">
        <v>57</v>
      </c>
      <c r="C17" s="31">
        <v>3</v>
      </c>
      <c r="D17" s="31">
        <v>3</v>
      </c>
      <c r="E17" s="31">
        <v>3</v>
      </c>
      <c r="F17" s="31">
        <v>3</v>
      </c>
      <c r="G17" s="31">
        <v>3</v>
      </c>
      <c r="H17" s="32">
        <f>AVERAGE(Ingresos[[#This Row],[Desarrolador (Juan José Bolívar)]:[Desarrollador 3 (Hanna Valencia]])</f>
        <v>3</v>
      </c>
      <c r="I17" s="31">
        <v>3</v>
      </c>
      <c r="J17" s="19"/>
      <c r="K17" s="19"/>
      <c r="L17" s="19"/>
      <c r="M17" s="19"/>
      <c r="N17" s="19"/>
      <c r="O17" s="18"/>
      <c r="P17" s="18"/>
    </row>
    <row r="18" spans="2:16" ht="30" customHeight="1">
      <c r="B18" s="31" t="s">
        <v>64</v>
      </c>
      <c r="C18" s="31">
        <v>8</v>
      </c>
      <c r="D18" s="31">
        <v>8</v>
      </c>
      <c r="E18" s="31">
        <v>5</v>
      </c>
      <c r="F18" s="31">
        <v>5</v>
      </c>
      <c r="G18" s="31">
        <v>5</v>
      </c>
      <c r="H18" s="32">
        <f>AVERAGE(Ingresos[[#This Row],[Desarrolador (Juan José Bolívar)]:[Desarrollador 3 (Hanna Valencia]])</f>
        <v>5.75</v>
      </c>
      <c r="I18" s="31">
        <v>5</v>
      </c>
      <c r="J18" s="19"/>
      <c r="K18" s="19"/>
      <c r="L18" s="19"/>
      <c r="M18" s="19"/>
      <c r="N18" s="19"/>
      <c r="O18" s="18"/>
      <c r="P18" s="18"/>
    </row>
    <row r="19" spans="2:16" ht="30" customHeight="1">
      <c r="B19" s="31" t="s">
        <v>84</v>
      </c>
      <c r="C19" s="31">
        <v>5</v>
      </c>
      <c r="D19" s="31">
        <v>5</v>
      </c>
      <c r="E19" s="31">
        <v>5</v>
      </c>
      <c r="F19" s="31">
        <v>3</v>
      </c>
      <c r="G19" s="31">
        <v>5</v>
      </c>
      <c r="H19" s="32">
        <f>AVERAGE(Ingresos[[#This Row],[Desarrolador (Juan José Bolívar)]:[Desarrollador 3 (Hanna Valencia]])</f>
        <v>4.5</v>
      </c>
      <c r="I19" s="31">
        <v>4</v>
      </c>
      <c r="J19" s="19"/>
      <c r="K19" s="19"/>
      <c r="L19" s="19"/>
      <c r="M19" s="19"/>
      <c r="N19" s="19"/>
      <c r="O19" s="18"/>
      <c r="P19" s="18"/>
    </row>
    <row r="20" spans="2:16" ht="30" customHeight="1">
      <c r="B20" s="31" t="s">
        <v>61</v>
      </c>
      <c r="C20" s="31">
        <v>5</v>
      </c>
      <c r="D20" s="31">
        <v>5</v>
      </c>
      <c r="E20" s="31">
        <v>5</v>
      </c>
      <c r="F20" s="31">
        <v>5</v>
      </c>
      <c r="G20" s="31">
        <v>5</v>
      </c>
      <c r="H20" s="32">
        <f>AVERAGE(Ingresos[[#This Row],[Desarrolador (Juan José Bolívar)]:[Desarrollador 3 (Hanna Valencia]])</f>
        <v>5</v>
      </c>
      <c r="I20" s="31">
        <v>4</v>
      </c>
      <c r="J20" s="23"/>
      <c r="K20" s="23"/>
      <c r="L20" s="23"/>
      <c r="M20" s="23"/>
      <c r="N20" s="23"/>
      <c r="O20" s="18"/>
      <c r="P20" s="18"/>
    </row>
    <row r="21" spans="2:16" ht="30" customHeight="1">
      <c r="B21" s="31" t="s">
        <v>55</v>
      </c>
      <c r="C21" s="31">
        <v>5</v>
      </c>
      <c r="D21" s="31">
        <v>5</v>
      </c>
      <c r="E21" s="31">
        <v>3</v>
      </c>
      <c r="F21" s="31">
        <v>5</v>
      </c>
      <c r="G21" s="31">
        <v>3</v>
      </c>
      <c r="H21" s="32">
        <f>AVERAGE(Ingresos[[#This Row],[Desarrolador (Juan José Bolívar)]:[Desarrollador 3 (Hanna Valencia]])</f>
        <v>4</v>
      </c>
      <c r="I21" s="31">
        <v>4</v>
      </c>
      <c r="J21" s="23"/>
      <c r="K21" s="23"/>
      <c r="L21" s="23"/>
      <c r="M21" s="23"/>
      <c r="N21" s="23"/>
      <c r="O21" s="18"/>
      <c r="P21" s="18"/>
    </row>
    <row r="22" spans="2:16" ht="30" customHeight="1">
      <c r="B22" s="31" t="s">
        <v>65</v>
      </c>
      <c r="C22" s="31">
        <v>5</v>
      </c>
      <c r="D22" s="31">
        <v>5</v>
      </c>
      <c r="E22" s="31">
        <v>3</v>
      </c>
      <c r="F22" s="31">
        <v>5</v>
      </c>
      <c r="G22" s="31">
        <v>3</v>
      </c>
      <c r="H22" s="32">
        <f>AVERAGE(Ingresos[[#This Row],[Desarrolador (Juan José Bolívar)]:[Desarrollador 3 (Hanna Valencia]])</f>
        <v>4</v>
      </c>
      <c r="I22" s="31">
        <v>4</v>
      </c>
      <c r="J22" s="23"/>
      <c r="K22" s="23"/>
      <c r="L22" s="23"/>
      <c r="M22" s="23"/>
      <c r="N22" s="23"/>
      <c r="O22" s="18"/>
      <c r="P22" s="18"/>
    </row>
    <row r="23" spans="2:16" ht="30" customHeight="1">
      <c r="B23" s="31" t="s">
        <v>54</v>
      </c>
      <c r="C23" s="31">
        <v>5</v>
      </c>
      <c r="D23" s="31">
        <v>5</v>
      </c>
      <c r="E23" s="31">
        <v>3</v>
      </c>
      <c r="F23" s="31">
        <v>3</v>
      </c>
      <c r="G23" s="31">
        <v>3</v>
      </c>
      <c r="H23" s="32">
        <f>AVERAGE(Ingresos[[#This Row],[Desarrolador (Juan José Bolívar)]:[Desarrollador 3 (Hanna Valencia]])</f>
        <v>3.5</v>
      </c>
      <c r="I23" s="31">
        <v>4</v>
      </c>
      <c r="J23" s="23"/>
      <c r="K23" s="23"/>
      <c r="L23" s="23"/>
      <c r="M23" s="23"/>
      <c r="N23" s="23"/>
      <c r="O23" s="18"/>
      <c r="P23" s="18"/>
    </row>
    <row r="24" spans="2:16" ht="30" customHeight="1">
      <c r="B24" s="31" t="s">
        <v>69</v>
      </c>
      <c r="C24" s="31">
        <v>8</v>
      </c>
      <c r="D24" s="31">
        <v>8</v>
      </c>
      <c r="E24" s="31">
        <v>5</v>
      </c>
      <c r="F24" s="31">
        <v>5</v>
      </c>
      <c r="G24" s="31">
        <v>5</v>
      </c>
      <c r="H24" s="32">
        <f>AVERAGE(Ingresos[[#This Row],[Desarrolador (Juan José Bolívar)]:[Desarrollador 3 (Hanna Valencia]])</f>
        <v>5.75</v>
      </c>
      <c r="I24" s="31">
        <v>5</v>
      </c>
      <c r="J24" s="23"/>
      <c r="K24" s="23"/>
      <c r="L24" s="23"/>
      <c r="M24" s="23"/>
      <c r="N24" s="23"/>
      <c r="O24" s="18"/>
      <c r="P24" s="18"/>
    </row>
    <row r="25" spans="2:16" ht="30" customHeight="1">
      <c r="B25" s="31" t="s">
        <v>73</v>
      </c>
      <c r="C25" s="31">
        <v>8</v>
      </c>
      <c r="D25" s="31">
        <v>8</v>
      </c>
      <c r="E25" s="31">
        <v>5</v>
      </c>
      <c r="F25" s="31">
        <v>5</v>
      </c>
      <c r="G25" s="31">
        <v>5</v>
      </c>
      <c r="H25" s="32">
        <f>AVERAGE(Ingresos[[#This Row],[Desarrolador (Juan José Bolívar)]:[Desarrollador 3 (Hanna Valencia]])</f>
        <v>5.75</v>
      </c>
      <c r="I25" s="31">
        <v>5</v>
      </c>
      <c r="J25" s="23"/>
      <c r="K25" s="23"/>
      <c r="L25" s="23"/>
      <c r="M25" s="23"/>
      <c r="N25" s="23"/>
      <c r="O25" s="18"/>
      <c r="P25" s="18"/>
    </row>
    <row r="26" spans="2:16" ht="30" customHeight="1">
      <c r="B26" s="31" t="s">
        <v>76</v>
      </c>
      <c r="C26" s="31">
        <v>5</v>
      </c>
      <c r="D26" s="31">
        <v>5</v>
      </c>
      <c r="E26" s="31">
        <v>3</v>
      </c>
      <c r="F26" s="31">
        <v>5</v>
      </c>
      <c r="G26" s="31">
        <v>3</v>
      </c>
      <c r="H26" s="32">
        <f>AVERAGE(Ingresos[[#This Row],[Desarrolador (Juan José Bolívar)]:[Desarrollador 3 (Hanna Valencia]])</f>
        <v>4</v>
      </c>
      <c r="I26" s="31">
        <v>4</v>
      </c>
      <c r="J26" s="23"/>
      <c r="K26" s="23"/>
      <c r="L26" s="23"/>
      <c r="M26" s="23"/>
      <c r="N26" s="23"/>
      <c r="O26" s="18"/>
      <c r="P26" s="18"/>
    </row>
    <row r="27" spans="2:16" ht="30" customHeight="1">
      <c r="B27" s="31" t="s">
        <v>80</v>
      </c>
      <c r="C27" s="31">
        <v>5</v>
      </c>
      <c r="D27" s="31">
        <v>5</v>
      </c>
      <c r="E27" s="31">
        <v>5</v>
      </c>
      <c r="F27" s="31">
        <v>3</v>
      </c>
      <c r="G27" s="31">
        <v>5</v>
      </c>
      <c r="H27" s="32">
        <f>AVERAGE(Ingresos[[#This Row],[Desarrolador (Juan José Bolívar)]:[Desarrollador 3 (Hanna Valencia]])</f>
        <v>4.5</v>
      </c>
      <c r="I27" s="31">
        <v>4</v>
      </c>
      <c r="J27" s="23"/>
      <c r="K27" s="23"/>
      <c r="L27" s="23"/>
      <c r="M27" s="23"/>
      <c r="N27" s="23"/>
      <c r="O27" s="18"/>
      <c r="P27" s="18"/>
    </row>
    <row r="28" spans="2:16" ht="30" customHeight="1">
      <c r="B28" s="31" t="s">
        <v>70</v>
      </c>
      <c r="C28" s="31">
        <v>5</v>
      </c>
      <c r="D28" s="31">
        <v>5</v>
      </c>
      <c r="E28" s="31">
        <v>3</v>
      </c>
      <c r="F28" s="31">
        <v>5</v>
      </c>
      <c r="G28" s="31">
        <v>3</v>
      </c>
      <c r="H28" s="32">
        <f>AVERAGE(Ingresos[[#This Row],[Desarrolador (Juan José Bolívar)]:[Desarrollador 3 (Hanna Valencia]])</f>
        <v>4</v>
      </c>
      <c r="I28" s="31">
        <v>4</v>
      </c>
      <c r="J28" s="23"/>
      <c r="K28" s="23"/>
      <c r="L28" s="23"/>
      <c r="M28" s="23"/>
      <c r="N28" s="23"/>
      <c r="O28" s="18"/>
      <c r="P28" s="18"/>
    </row>
    <row r="29" spans="2:16" ht="30" customHeight="1">
      <c r="B29" s="31" t="s">
        <v>58</v>
      </c>
      <c r="C29" s="31">
        <v>5</v>
      </c>
      <c r="D29" s="31">
        <v>5</v>
      </c>
      <c r="E29" s="31">
        <v>3</v>
      </c>
      <c r="F29" s="31">
        <v>5</v>
      </c>
      <c r="G29" s="31">
        <v>3</v>
      </c>
      <c r="H29" s="32">
        <f>AVERAGE(Ingresos[[#This Row],[Desarrolador (Juan José Bolívar)]:[Desarrollador 3 (Hanna Valencia]])</f>
        <v>4</v>
      </c>
      <c r="I29" s="31">
        <v>4</v>
      </c>
      <c r="J29" s="23"/>
      <c r="K29" s="23"/>
      <c r="L29" s="23"/>
      <c r="M29" s="23"/>
      <c r="N29" s="23"/>
      <c r="O29" s="18"/>
      <c r="P29" s="18"/>
    </row>
    <row r="30" spans="2:16" ht="30" customHeight="1">
      <c r="B30" s="31" t="s">
        <v>63</v>
      </c>
      <c r="C30" s="31">
        <v>3</v>
      </c>
      <c r="D30" s="31">
        <v>3</v>
      </c>
      <c r="E30" s="31">
        <v>3</v>
      </c>
      <c r="F30" s="31">
        <v>5</v>
      </c>
      <c r="G30" s="31">
        <v>3</v>
      </c>
      <c r="H30" s="32">
        <f>AVERAGE(Ingresos[[#This Row],[Desarrolador (Juan José Bolívar)]:[Desarrollador 3 (Hanna Valencia]])</f>
        <v>3.5</v>
      </c>
      <c r="I30" s="31">
        <v>4</v>
      </c>
      <c r="J30" s="23"/>
      <c r="K30" s="23"/>
      <c r="L30" s="23"/>
      <c r="M30" s="23"/>
      <c r="N30" s="23"/>
      <c r="O30" s="18"/>
      <c r="P30" s="18"/>
    </row>
    <row r="31" spans="2:16" ht="30" customHeight="1">
      <c r="B31" s="31" t="s">
        <v>74</v>
      </c>
      <c r="C31" s="31">
        <v>3</v>
      </c>
      <c r="D31" s="31">
        <v>3</v>
      </c>
      <c r="E31" s="31">
        <v>3</v>
      </c>
      <c r="F31" s="31">
        <v>2</v>
      </c>
      <c r="G31" s="31">
        <v>3</v>
      </c>
      <c r="H31" s="32">
        <f>AVERAGE(Ingresos[[#This Row],[Desarrolador (Juan José Bolívar)]:[Desarrollador 3 (Hanna Valencia]])</f>
        <v>2.75</v>
      </c>
      <c r="I31" s="31">
        <v>2</v>
      </c>
      <c r="J31" s="23"/>
      <c r="K31" s="23"/>
      <c r="L31" s="23"/>
      <c r="M31" s="23"/>
      <c r="N31" s="23"/>
      <c r="O31" s="18"/>
      <c r="P31" s="18"/>
    </row>
    <row r="32" spans="2:16" ht="30" customHeight="1">
      <c r="B32" s="31" t="s">
        <v>87</v>
      </c>
      <c r="C32" s="31">
        <v>3</v>
      </c>
      <c r="D32" s="31">
        <v>3</v>
      </c>
      <c r="E32" s="31">
        <v>5</v>
      </c>
      <c r="F32" s="31">
        <v>3</v>
      </c>
      <c r="G32" s="31">
        <v>5</v>
      </c>
      <c r="H32" s="32">
        <f>AVERAGE(Ingresos[[#This Row],[Desarrolador (Juan José Bolívar)]:[Desarrollador 3 (Hanna Valencia]])</f>
        <v>4</v>
      </c>
      <c r="I32" s="31">
        <v>4</v>
      </c>
      <c r="J32" s="23"/>
      <c r="K32" s="23"/>
      <c r="L32" s="23"/>
      <c r="M32" s="23"/>
      <c r="N32" s="23"/>
      <c r="O32" s="18"/>
      <c r="P32" s="18"/>
    </row>
    <row r="33" spans="2:16" ht="30" customHeight="1">
      <c r="B33" s="31" t="s">
        <v>59</v>
      </c>
      <c r="C33" s="31">
        <v>8</v>
      </c>
      <c r="D33" s="31">
        <v>8</v>
      </c>
      <c r="E33" s="31">
        <v>5</v>
      </c>
      <c r="F33" s="31">
        <v>5</v>
      </c>
      <c r="G33" s="31">
        <v>5</v>
      </c>
      <c r="H33" s="32">
        <f>AVERAGE(Ingresos[[#This Row],[Desarrolador (Juan José Bolívar)]:[Desarrollador 3 (Hanna Valencia]])</f>
        <v>5.75</v>
      </c>
      <c r="I33" s="31">
        <v>5</v>
      </c>
      <c r="J33" s="23"/>
      <c r="K33" s="23"/>
      <c r="L33" s="23"/>
      <c r="M33" s="23"/>
      <c r="N33" s="23"/>
      <c r="O33" s="18"/>
      <c r="P33" s="18"/>
    </row>
    <row r="34" spans="2:16" ht="30" customHeight="1">
      <c r="B34" s="31" t="s">
        <v>78</v>
      </c>
      <c r="C34" s="31">
        <v>3</v>
      </c>
      <c r="D34" s="31">
        <v>3</v>
      </c>
      <c r="E34" s="31">
        <v>3</v>
      </c>
      <c r="F34" s="31">
        <v>3</v>
      </c>
      <c r="G34" s="31">
        <v>3</v>
      </c>
      <c r="H34" s="32">
        <f>AVERAGE(Ingresos[[#This Row],[Desarrolador (Juan José Bolívar)]:[Desarrollador 3 (Hanna Valencia]])</f>
        <v>3</v>
      </c>
      <c r="I34" s="31">
        <v>3</v>
      </c>
      <c r="J34" s="23"/>
      <c r="K34" s="23"/>
      <c r="L34" s="23"/>
      <c r="M34" s="23"/>
      <c r="N34" s="23"/>
      <c r="O34" s="18"/>
      <c r="P34" s="18"/>
    </row>
    <row r="35" spans="2:16" ht="30" customHeight="1">
      <c r="B35" s="31" t="s">
        <v>68</v>
      </c>
      <c r="C35" s="31">
        <v>5</v>
      </c>
      <c r="D35" s="31">
        <v>5</v>
      </c>
      <c r="E35" s="31">
        <v>5</v>
      </c>
      <c r="F35" s="31">
        <v>3</v>
      </c>
      <c r="G35" s="31">
        <v>5</v>
      </c>
      <c r="H35" s="32">
        <f>AVERAGE(Ingresos[[#This Row],[Desarrolador (Juan José Bolívar)]:[Desarrollador 3 (Hanna Valencia]])</f>
        <v>4.5</v>
      </c>
      <c r="I35" s="31">
        <v>4</v>
      </c>
      <c r="J35" s="23"/>
      <c r="K35" s="23"/>
      <c r="L35" s="23"/>
      <c r="M35" s="23"/>
      <c r="N35" s="23"/>
      <c r="O35" s="18"/>
      <c r="P35" s="18"/>
    </row>
    <row r="36" spans="2:16" ht="30" customHeight="1">
      <c r="B36" s="31" t="s">
        <v>81</v>
      </c>
      <c r="C36" s="31">
        <v>3</v>
      </c>
      <c r="D36" s="31">
        <v>3</v>
      </c>
      <c r="E36" s="31">
        <v>3</v>
      </c>
      <c r="F36" s="31">
        <v>3</v>
      </c>
      <c r="G36" s="31">
        <v>3</v>
      </c>
      <c r="H36" s="32">
        <f>AVERAGE(Ingresos[[#This Row],[Desarrolador (Juan José Bolívar)]:[Desarrollador 3 (Hanna Valencia]])</f>
        <v>3</v>
      </c>
      <c r="I36" s="31">
        <v>3</v>
      </c>
      <c r="J36" s="23"/>
      <c r="K36" s="23"/>
      <c r="L36" s="23"/>
      <c r="M36" s="23"/>
      <c r="N36" s="23"/>
      <c r="O36" s="18"/>
      <c r="P36" s="18"/>
    </row>
    <row r="37" spans="2:16" ht="30" customHeight="1">
      <c r="B37" s="31" t="s">
        <v>72</v>
      </c>
      <c r="C37" s="31">
        <v>2</v>
      </c>
      <c r="D37" s="31">
        <v>2</v>
      </c>
      <c r="E37" s="31">
        <v>3</v>
      </c>
      <c r="F37" s="31">
        <v>2</v>
      </c>
      <c r="G37" s="31">
        <v>3</v>
      </c>
      <c r="H37" s="32">
        <f>AVERAGE(Ingresos[[#This Row],[Desarrolador (Juan José Bolívar)]:[Desarrollador 3 (Hanna Valencia]])</f>
        <v>2.5</v>
      </c>
      <c r="I37" s="31">
        <v>2</v>
      </c>
      <c r="J37" s="23"/>
      <c r="K37" s="23"/>
      <c r="L37" s="23"/>
      <c r="M37" s="23"/>
      <c r="N37" s="23"/>
      <c r="O37" s="18"/>
      <c r="P37" s="18"/>
    </row>
    <row r="38" spans="2:16" ht="30" customHeight="1">
      <c r="B38" s="31" t="s">
        <v>83</v>
      </c>
      <c r="C38" s="31">
        <v>3</v>
      </c>
      <c r="D38" s="31">
        <v>3</v>
      </c>
      <c r="E38" s="31">
        <v>3</v>
      </c>
      <c r="F38" s="31">
        <v>2</v>
      </c>
      <c r="G38" s="31">
        <v>3</v>
      </c>
      <c r="H38" s="32">
        <f>AVERAGE(Ingresos[[#This Row],[Desarrolador (Juan José Bolívar)]:[Desarrollador 3 (Hanna Valencia]])</f>
        <v>2.75</v>
      </c>
      <c r="I38" s="31">
        <v>2</v>
      </c>
      <c r="J38" s="23"/>
      <c r="K38" s="23"/>
      <c r="L38" s="23"/>
      <c r="M38" s="23"/>
      <c r="N38" s="23"/>
      <c r="O38" s="18"/>
      <c r="P38" s="18"/>
    </row>
    <row r="39" spans="2:16" ht="34.9" hidden="1" customHeight="1">
      <c r="B39" s="10" t="s">
        <v>92</v>
      </c>
      <c r="C39" s="20"/>
      <c r="D39" s="20">
        <f>SUBTOTAL(109,Ingresos[Desarrolador (Juan José Bolívar)])</f>
        <v>108</v>
      </c>
      <c r="E39" s="20">
        <f>SUBTOTAL(109,Ingresos[Mar])</f>
        <v>87</v>
      </c>
      <c r="F39" s="20"/>
      <c r="G39" s="20">
        <f>SUBTOTAL(109,Ingresos[Desarrollador 3 (Hanna Valencia])</f>
        <v>87</v>
      </c>
      <c r="H39" s="30">
        <f>SUBTOTAL(109,Ingresos[Promedio PP])</f>
        <v>92.5</v>
      </c>
      <c r="I39" s="20">
        <f>SUBTOTAL(109,Ingresos[esfuerzo (1-5)])</f>
        <v>86</v>
      </c>
      <c r="J39" s="20">
        <f>SUBTOTAL(109,Ingresos[Ago])</f>
        <v>0</v>
      </c>
      <c r="K39" s="20">
        <f>SUBTOTAL(109,Ingresos[Sep])</f>
        <v>0</v>
      </c>
      <c r="L39" s="20">
        <f>SUBTOTAL(109,Ingresos[Oct])</f>
        <v>0</v>
      </c>
      <c r="M39" s="20">
        <f>SUBTOTAL(109,Ingresos[Nov])</f>
        <v>0</v>
      </c>
      <c r="N39" s="20">
        <f>SUBTOTAL(109,Ingresos[Dic])</f>
        <v>0</v>
      </c>
      <c r="O39" s="20"/>
      <c r="P39" s="20"/>
    </row>
    <row r="40" spans="2:16" ht="63.75" customHeight="1"/>
    <row r="41" spans="2:16" ht="63.75" hidden="1" customHeight="1"/>
    <row r="42" spans="2:16" ht="60" hidden="1" customHeight="1">
      <c r="B42" s="13" t="s">
        <v>93</v>
      </c>
      <c r="C42" s="8"/>
      <c r="D42" s="8"/>
      <c r="E42" s="8"/>
      <c r="F42" s="8"/>
      <c r="G42" s="8"/>
      <c r="H42" s="27"/>
      <c r="I42" s="8"/>
      <c r="J42" s="8"/>
      <c r="K42" s="8"/>
      <c r="L42" s="8"/>
      <c r="M42" s="8"/>
      <c r="N42" s="8"/>
      <c r="O42" s="8"/>
      <c r="P42" s="8"/>
    </row>
    <row r="43" spans="2:16" ht="34.9" hidden="1" customHeight="1">
      <c r="B43" s="14" t="s">
        <v>94</v>
      </c>
      <c r="C43" s="14" t="s">
        <v>34</v>
      </c>
      <c r="D43" s="15" t="s">
        <v>47</v>
      </c>
      <c r="E43" s="15" t="s">
        <v>36</v>
      </c>
      <c r="F43" s="15" t="s">
        <v>95</v>
      </c>
      <c r="G43" s="15" t="s">
        <v>96</v>
      </c>
      <c r="H43" s="28" t="s">
        <v>97</v>
      </c>
      <c r="I43" s="15" t="s">
        <v>98</v>
      </c>
      <c r="J43" s="15" t="s">
        <v>41</v>
      </c>
      <c r="K43" s="15" t="s">
        <v>42</v>
      </c>
      <c r="L43" s="15" t="s">
        <v>43</v>
      </c>
      <c r="M43" s="15" t="s">
        <v>44</v>
      </c>
      <c r="N43" s="15" t="s">
        <v>45</v>
      </c>
      <c r="O43" s="15" t="s">
        <v>46</v>
      </c>
      <c r="P43" s="15" t="s">
        <v>99</v>
      </c>
    </row>
    <row r="44" spans="2:16" ht="30" hidden="1" customHeight="1">
      <c r="B44" s="9" t="s">
        <v>100</v>
      </c>
      <c r="C44" s="18"/>
      <c r="D44" s="19"/>
      <c r="E44" s="19"/>
      <c r="F44" s="19"/>
      <c r="G44" s="19"/>
      <c r="H44" s="29"/>
      <c r="I44" s="19"/>
      <c r="J44" s="19"/>
      <c r="K44" s="19"/>
      <c r="L44" s="19"/>
      <c r="M44" s="19"/>
      <c r="N44" s="19"/>
      <c r="O44" s="18"/>
      <c r="P44" s="18"/>
    </row>
    <row r="45" spans="2:16" ht="30" hidden="1" customHeight="1">
      <c r="B45" s="9" t="s">
        <v>101</v>
      </c>
      <c r="C45" s="18"/>
      <c r="D45" s="19"/>
      <c r="E45" s="19"/>
      <c r="F45" s="19"/>
      <c r="G45" s="19"/>
      <c r="H45" s="29"/>
      <c r="I45" s="19"/>
      <c r="J45" s="19"/>
      <c r="K45" s="19"/>
      <c r="L45" s="19"/>
      <c r="M45" s="19"/>
      <c r="N45" s="19"/>
      <c r="O45" s="18"/>
      <c r="P45" s="18"/>
    </row>
    <row r="46" spans="2:16" ht="30" hidden="1" customHeight="1">
      <c r="B46" s="9" t="s">
        <v>102</v>
      </c>
      <c r="C46" s="18"/>
      <c r="D46" s="19"/>
      <c r="E46" s="19"/>
      <c r="F46" s="19"/>
      <c r="G46" s="19"/>
      <c r="H46" s="29"/>
      <c r="I46" s="19"/>
      <c r="J46" s="19"/>
      <c r="K46" s="19"/>
      <c r="L46" s="19"/>
      <c r="M46" s="19"/>
      <c r="N46" s="19"/>
      <c r="O46" s="18"/>
      <c r="P46" s="18"/>
    </row>
    <row r="47" spans="2:16" ht="30" hidden="1" customHeight="1">
      <c r="B47" s="9" t="s">
        <v>103</v>
      </c>
      <c r="C47" s="18"/>
      <c r="D47" s="19"/>
      <c r="E47" s="19"/>
      <c r="F47" s="19"/>
      <c r="G47" s="19"/>
      <c r="H47" s="29"/>
      <c r="I47" s="19"/>
      <c r="J47" s="19"/>
      <c r="K47" s="19"/>
      <c r="L47" s="19"/>
      <c r="M47" s="19"/>
      <c r="N47" s="19"/>
      <c r="O47" s="18"/>
      <c r="P47" s="18"/>
    </row>
    <row r="48" spans="2:16" ht="30" hidden="1" customHeight="1">
      <c r="B48" s="9" t="s">
        <v>104</v>
      </c>
      <c r="C48" s="18"/>
      <c r="D48" s="19"/>
      <c r="E48" s="19"/>
      <c r="F48" s="19"/>
      <c r="G48" s="19"/>
      <c r="H48" s="29"/>
      <c r="I48" s="19"/>
      <c r="J48" s="19"/>
      <c r="K48" s="19"/>
      <c r="L48" s="19"/>
      <c r="M48" s="19"/>
      <c r="N48" s="19"/>
      <c r="O48" s="18"/>
      <c r="P48" s="18"/>
    </row>
    <row r="49" spans="2:16" ht="30" hidden="1" customHeight="1">
      <c r="B49" s="9" t="s">
        <v>105</v>
      </c>
      <c r="C49" s="18"/>
      <c r="D49" s="19"/>
      <c r="E49" s="19"/>
      <c r="F49" s="19"/>
      <c r="G49" s="19"/>
      <c r="H49" s="29"/>
      <c r="I49" s="19"/>
      <c r="J49" s="19"/>
      <c r="K49" s="19"/>
      <c r="L49" s="19"/>
      <c r="M49" s="19"/>
      <c r="N49" s="19"/>
      <c r="O49" s="18"/>
      <c r="P49" s="18"/>
    </row>
    <row r="50" spans="2:16" ht="30" hidden="1" customHeight="1">
      <c r="B50" s="9" t="s">
        <v>106</v>
      </c>
      <c r="C50" s="18"/>
      <c r="D50" s="19"/>
      <c r="E50" s="19"/>
      <c r="F50" s="19"/>
      <c r="G50" s="19"/>
      <c r="H50" s="29"/>
      <c r="I50" s="19"/>
      <c r="J50" s="19"/>
      <c r="K50" s="19"/>
      <c r="L50" s="19"/>
      <c r="M50" s="19"/>
      <c r="N50" s="19"/>
      <c r="O50" s="18"/>
      <c r="P50" s="18"/>
    </row>
    <row r="51" spans="2:16" ht="30" hidden="1" customHeight="1">
      <c r="B51" s="9" t="s">
        <v>107</v>
      </c>
      <c r="C51" s="18"/>
      <c r="D51" s="19"/>
      <c r="E51" s="19"/>
      <c r="F51" s="19"/>
      <c r="G51" s="19"/>
      <c r="H51" s="29"/>
      <c r="I51" s="19"/>
      <c r="J51" s="19"/>
      <c r="K51" s="19"/>
      <c r="L51" s="19"/>
      <c r="M51" s="19"/>
      <c r="N51" s="19"/>
      <c r="O51" s="18"/>
      <c r="P51" s="18"/>
    </row>
    <row r="52" spans="2:16" ht="30" hidden="1" customHeight="1">
      <c r="B52" s="9" t="s">
        <v>108</v>
      </c>
      <c r="C52" s="18"/>
      <c r="D52" s="19"/>
      <c r="E52" s="19"/>
      <c r="F52" s="19"/>
      <c r="G52" s="19"/>
      <c r="H52" s="29"/>
      <c r="I52" s="19"/>
      <c r="J52" s="19"/>
      <c r="K52" s="19"/>
      <c r="L52" s="19"/>
      <c r="M52" s="19"/>
      <c r="N52" s="19"/>
      <c r="O52" s="18"/>
      <c r="P52" s="18"/>
    </row>
    <row r="53" spans="2:16" ht="30" hidden="1" customHeight="1">
      <c r="B53" s="9" t="s">
        <v>109</v>
      </c>
      <c r="C53" s="18"/>
      <c r="D53" s="19"/>
      <c r="E53" s="19"/>
      <c r="F53" s="19"/>
      <c r="G53" s="19"/>
      <c r="H53" s="29"/>
      <c r="I53" s="19"/>
      <c r="J53" s="19"/>
      <c r="K53" s="19"/>
      <c r="L53" s="19"/>
      <c r="M53" s="19"/>
      <c r="N53" s="19"/>
      <c r="O53" s="18"/>
      <c r="P53" s="18"/>
    </row>
    <row r="54" spans="2:16" ht="30" hidden="1" customHeight="1">
      <c r="B54" s="9" t="s">
        <v>110</v>
      </c>
      <c r="C54" s="18"/>
      <c r="D54" s="19"/>
      <c r="E54" s="19"/>
      <c r="F54" s="19"/>
      <c r="G54" s="19"/>
      <c r="H54" s="29"/>
      <c r="I54" s="19"/>
      <c r="J54" s="19"/>
      <c r="K54" s="19"/>
      <c r="L54" s="19"/>
      <c r="M54" s="19"/>
      <c r="N54" s="19"/>
      <c r="O54" s="18"/>
      <c r="P54" s="18"/>
    </row>
    <row r="55" spans="2:16" ht="30" hidden="1" customHeight="1">
      <c r="B55" s="9" t="s">
        <v>111</v>
      </c>
      <c r="C55" s="18"/>
      <c r="D55" s="19"/>
      <c r="E55" s="19"/>
      <c r="F55" s="19"/>
      <c r="G55" s="19"/>
      <c r="H55" s="29"/>
      <c r="I55" s="19"/>
      <c r="J55" s="19"/>
      <c r="K55" s="19"/>
      <c r="L55" s="19"/>
      <c r="M55" s="19"/>
      <c r="N55" s="19"/>
      <c r="O55" s="18"/>
      <c r="P55" s="18"/>
    </row>
    <row r="56" spans="2:16" ht="30" hidden="1" customHeight="1">
      <c r="B56" s="9" t="s">
        <v>112</v>
      </c>
      <c r="C56" s="18"/>
      <c r="D56" s="19"/>
      <c r="E56" s="19"/>
      <c r="F56" s="19"/>
      <c r="G56" s="19"/>
      <c r="H56" s="29"/>
      <c r="I56" s="19"/>
      <c r="J56" s="19"/>
      <c r="K56" s="19"/>
      <c r="L56" s="19"/>
      <c r="M56" s="19"/>
      <c r="N56" s="19"/>
      <c r="O56" s="18"/>
      <c r="P56" s="18"/>
    </row>
    <row r="57" spans="2:16" ht="30" hidden="1" customHeight="1">
      <c r="B57" s="9" t="s">
        <v>113</v>
      </c>
      <c r="C57" s="18"/>
      <c r="D57" s="19"/>
      <c r="E57" s="19"/>
      <c r="F57" s="19"/>
      <c r="G57" s="19"/>
      <c r="H57" s="29"/>
      <c r="I57" s="19"/>
      <c r="J57" s="19"/>
      <c r="K57" s="19"/>
      <c r="L57" s="19"/>
      <c r="M57" s="19"/>
      <c r="N57" s="19"/>
      <c r="O57" s="18"/>
      <c r="P57" s="18"/>
    </row>
    <row r="58" spans="2:16" ht="30" hidden="1" customHeight="1">
      <c r="B58" s="9" t="s">
        <v>114</v>
      </c>
      <c r="C58" s="21"/>
      <c r="D58" s="19"/>
      <c r="E58" s="19"/>
      <c r="F58" s="19"/>
      <c r="G58" s="19"/>
      <c r="H58" s="29"/>
      <c r="I58" s="19"/>
      <c r="J58" s="19"/>
      <c r="K58" s="19"/>
      <c r="L58" s="19"/>
      <c r="M58" s="19"/>
      <c r="N58" s="19"/>
      <c r="O58" s="18"/>
      <c r="P58" s="18"/>
    </row>
    <row r="59" spans="2:16" ht="30" hidden="1" customHeight="1">
      <c r="B59" s="9" t="s">
        <v>115</v>
      </c>
      <c r="C59" s="21"/>
      <c r="D59" s="19"/>
      <c r="E59" s="19"/>
      <c r="F59" s="19"/>
      <c r="G59" s="19"/>
      <c r="H59" s="29"/>
      <c r="I59" s="19"/>
      <c r="J59" s="19"/>
      <c r="K59" s="19"/>
      <c r="L59" s="19"/>
      <c r="M59" s="19"/>
      <c r="N59" s="19"/>
      <c r="O59" s="18"/>
      <c r="P59" s="18"/>
    </row>
    <row r="60" spans="2:16" ht="30" hidden="1" customHeight="1">
      <c r="B60" s="9" t="s">
        <v>116</v>
      </c>
      <c r="C60" s="21"/>
      <c r="D60" s="19"/>
      <c r="E60" s="19"/>
      <c r="F60" s="19"/>
      <c r="G60" s="19"/>
      <c r="H60" s="29"/>
      <c r="I60" s="19"/>
      <c r="J60" s="19"/>
      <c r="K60" s="19"/>
      <c r="L60" s="19"/>
      <c r="M60" s="19"/>
      <c r="N60" s="19"/>
      <c r="O60" s="18"/>
      <c r="P60" s="18"/>
    </row>
    <row r="61" spans="2:16" ht="30" hidden="1" customHeight="1">
      <c r="B61" s="10" t="s">
        <v>92</v>
      </c>
      <c r="C61" s="20"/>
      <c r="D61" s="20">
        <f>SUBTOTAL(109,Gastos[Feb])</f>
        <v>0</v>
      </c>
      <c r="E61" s="20">
        <f>SUBTOTAL(109,Gastos[Mar])</f>
        <v>0</v>
      </c>
      <c r="F61" s="20"/>
      <c r="G61" s="20">
        <f>SUBTOTAL(109,Gastos[May])</f>
        <v>0</v>
      </c>
      <c r="H61" s="30">
        <f>SUBTOTAL(109,Gastos[Jun])</f>
        <v>0</v>
      </c>
      <c r="I61" s="20">
        <f>SUBTOTAL(109,Gastos[Jul])</f>
        <v>0</v>
      </c>
      <c r="J61" s="20">
        <f>SUBTOTAL(109,Gastos[Ago])</f>
        <v>0</v>
      </c>
      <c r="K61" s="20">
        <f>SUBTOTAL(109,Gastos[Sep])</f>
        <v>0</v>
      </c>
      <c r="L61" s="20">
        <f>SUBTOTAL(109,Gastos[Oct])</f>
        <v>0</v>
      </c>
      <c r="M61" s="20">
        <f>SUBTOTAL(109,Gastos[Nov])</f>
        <v>0</v>
      </c>
      <c r="N61" s="20">
        <f>SUBTOTAL(109,Gastos[Dic])</f>
        <v>0</v>
      </c>
      <c r="O61" s="20"/>
      <c r="P61" s="20"/>
    </row>
    <row r="62" spans="2:16" ht="30" hidden="1" customHeight="1"/>
    <row r="63" spans="2:16" ht="30" hidden="1" customHeight="1"/>
    <row r="64" spans="2:16" ht="30" hidden="1" customHeight="1"/>
    <row r="65" ht="30" hidden="1" customHeight="1"/>
    <row r="66" ht="30" hidden="1" customHeight="1"/>
    <row r="67" ht="30" hidden="1" customHeight="1"/>
    <row r="68" ht="30" hidden="1" customHeight="1"/>
    <row r="69" ht="30" hidden="1" customHeight="1"/>
    <row r="70" ht="30" hidden="1" customHeight="1"/>
    <row r="71" ht="30" hidden="1" customHeight="1"/>
    <row r="72" ht="30" hidden="1" customHeight="1"/>
    <row r="73" ht="30" hidden="1" customHeight="1"/>
    <row r="74" ht="30" hidden="1" customHeight="1"/>
    <row r="75" ht="30" hidden="1" customHeight="1"/>
    <row r="76" ht="30" hidden="1" customHeight="1"/>
    <row r="77" ht="30" hidden="1" customHeight="1"/>
    <row r="78" ht="30" hidden="1" customHeight="1"/>
    <row r="79" ht="30" hidden="1" customHeight="1"/>
    <row r="80" ht="30" hidden="1" customHeight="1"/>
    <row r="81" ht="30" hidden="1" customHeight="1"/>
    <row r="82" ht="30" hidden="1" customHeight="1"/>
    <row r="83" ht="30" hidden="1" customHeight="1"/>
    <row r="84" ht="30" hidden="1" customHeight="1"/>
    <row r="85" ht="30" hidden="1" customHeight="1"/>
    <row r="86" ht="30" hidden="1" customHeight="1"/>
    <row r="87" ht="30" hidden="1" customHeight="1"/>
    <row r="88" ht="30" hidden="1" customHeight="1"/>
    <row r="89" ht="30" hidden="1" customHeight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</sheetData>
  <dataValidations count="9">
    <dataValidation allowBlank="1" showInputMessage="1" showErrorMessage="1" prompt="El total de ingresos mensuales y el total de gastos mensuales se actualizan automáticamente en las celdas siguientes" sqref="C4 E4" xr:uid="{EA3F2DA6-B81E-45B4-8811-21D9AC2BEA76}"/>
    <dataValidation allowBlank="1" showInputMessage="1" showErrorMessage="1" prompt="El valor de Total de gastos mensuales se actualiza automáticamente en la celda de la derecha." sqref="D6 B6 B8 D8 D10 B10 B12 D12" xr:uid="{704F04AA-25DB-4945-8B92-4A997AB98901}"/>
    <dataValidation allowBlank="1" showInputMessage="1" showErrorMessage="1" prompt="El valor de Total de gastos mensuales se actualiza automáticamente en esta celda." sqref="E6:E12 C6 C8 C10 C12" xr:uid="{DAEF132B-84E4-40C6-AA80-2F9AEED9474F}"/>
    <dataValidation allowBlank="1" showInputMessage="1" showErrorMessage="1" prompt="El valor de Total de ingresos mensuales se actualiza automáticamente en la celda de la derecha." sqref="B5 D5 B7 D7 B9 D9 B11 D11" xr:uid="{7AA3950C-92AC-41A8-9DDB-31248048F7EF}"/>
    <dataValidation allowBlank="1" showInputMessage="1" showErrorMessage="1" prompt="El valor de Total de ingresos mensuales se actualiza automáticamente en esta celda." sqref="C5 E5 C7 C9 C11" xr:uid="{C3E92B2C-5748-43E5-B26F-E7323AA578DF}"/>
    <dataValidation allowBlank="1" showInputMessage="1" showErrorMessage="1" prompt="Escriba los elementos de ingresos mensuales en la columna con este encabezado" sqref="B15" xr:uid="{AF40F059-1EDB-4FB7-A177-3E9D5CDB6B4A}"/>
    <dataValidation allowBlank="1" showInputMessage="1" showErrorMessage="1" prompt="Escriba el importe en esta columna con este título" sqref="C43 C15" xr:uid="{BF7067A3-798B-4D64-9DD4-4A4076087F61}"/>
    <dataValidation allowBlank="1" showInputMessage="1" showErrorMessage="1" prompt="Escriba los elementos de gastos mensuales en la columna con este encabezado" sqref="B43" xr:uid="{35829B6D-9AE6-417F-B139-89BCD1D3EAC8}"/>
    <dataValidation allowBlank="1" showInputMessage="1" showErrorMessage="1" prompt="El título de esta hoja de cálculo se encuentra en esta celda. Escriba los ingresos mensuales en la tabla Ingresos y los gastos mensuales en la tabla Gastos" sqref="B2" xr:uid="{1797785A-52F5-43A6-9CAA-8E37AC066484}"/>
  </dataValidations>
  <pageMargins left="0.7" right="0.7" top="0.75" bottom="0.75" header="0.3" footer="0.3"/>
  <pageSetup paperSize="9" scale="56" fitToHeight="2" orientation="landscape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28A6C33-6507-4EFB-BEC8-7F8198102DED}"/>
</file>

<file path=customXml/itemProps2.xml><?xml version="1.0" encoding="utf-8"?>
<ds:datastoreItem xmlns:ds="http://schemas.openxmlformats.org/officeDocument/2006/customXml" ds:itemID="{215279B3-9E9E-4C05-B41F-993982E9558C}"/>
</file>

<file path=customXml/itemProps3.xml><?xml version="1.0" encoding="utf-8"?>
<ds:datastoreItem xmlns:ds="http://schemas.openxmlformats.org/officeDocument/2006/customXml" ds:itemID="{113EEF33-4398-4C7D-AC87-8E8CA521E0DF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TM22605629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2026-04-26T22:58:16Z</dcterms:created>
  <dcterms:modified xsi:type="dcterms:W3CDTF">2026-04-26T23:57:47Z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