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xr:revisionPtr revIDLastSave="0" documentId="13_ncr:1_{8895DC80-0B1B-4322-B96A-1BF9FC68C211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Fortalezas" sheetId="1" r:id="rId1"/>
    <sheet name="Oportunidades" sheetId="4" r:id="rId2"/>
    <sheet name="Debilidades" sheetId="5" r:id="rId3"/>
    <sheet name="Amenazas" sheetId="6" r:id="rId4"/>
    <sheet name="Probabilidad Vs. Impacto" sheetId="3" r:id="rId5"/>
  </sheets>
  <definedNames>
    <definedName name="AmenazasDebilidades">Fortalezas!$V$12:$V$15</definedName>
    <definedName name="OportunidadesFortalezas">Fortalezas!$X$12:$X$15</definedName>
  </definedNames>
  <calcPr calcId="181029"/>
</workbook>
</file>

<file path=xl/calcChain.xml><?xml version="1.0" encoding="utf-8"?>
<calcChain xmlns="http://schemas.openxmlformats.org/spreadsheetml/2006/main">
  <c r="F6" i="3" l="1"/>
  <c r="I8" i="1"/>
  <c r="K8" i="1" s="1"/>
  <c r="L8" i="1" s="1"/>
  <c r="I7" i="1" l="1"/>
  <c r="K7" i="1" s="1"/>
  <c r="L7" i="1" s="1"/>
  <c r="I6" i="1"/>
  <c r="K6" i="1" s="1"/>
  <c r="L6" i="1" s="1"/>
  <c r="H6" i="4"/>
  <c r="J6" i="4" s="1"/>
  <c r="K6" i="4" s="1"/>
  <c r="H6" i="6"/>
  <c r="J6" i="6" s="1"/>
  <c r="K6" i="6" s="1"/>
  <c r="H6" i="5"/>
  <c r="J6" i="5" s="1"/>
  <c r="K6" i="5" s="1"/>
  <c r="D9" i="3"/>
  <c r="H9" i="3"/>
  <c r="G9" i="3"/>
  <c r="F9" i="3"/>
  <c r="E9" i="3"/>
  <c r="H8" i="3"/>
  <c r="G8" i="3"/>
  <c r="F8" i="3"/>
  <c r="E8" i="3"/>
  <c r="D8" i="3"/>
  <c r="H7" i="3"/>
  <c r="G7" i="3"/>
  <c r="F7" i="3"/>
  <c r="E7" i="3"/>
  <c r="D7" i="3"/>
  <c r="H6" i="3"/>
  <c r="G6" i="3"/>
  <c r="E6" i="3"/>
  <c r="D6" i="3"/>
  <c r="H5" i="3"/>
  <c r="G5" i="3"/>
  <c r="F5" i="3"/>
  <c r="E5" i="3"/>
  <c r="D5" i="3"/>
  <c r="H7" i="6"/>
  <c r="J7" i="6" s="1"/>
  <c r="K7" i="6" s="1"/>
  <c r="H8" i="6"/>
  <c r="J8" i="6" s="1"/>
  <c r="K8" i="6" s="1"/>
  <c r="H9" i="6"/>
  <c r="J9" i="6" s="1"/>
  <c r="K9" i="6" s="1"/>
  <c r="H7" i="5"/>
  <c r="J7" i="5" s="1"/>
  <c r="K7" i="5" s="1"/>
  <c r="H8" i="5"/>
  <c r="J8" i="5" s="1"/>
  <c r="K8" i="5" s="1"/>
  <c r="H9" i="5"/>
  <c r="J9" i="5" s="1"/>
  <c r="K9" i="5" s="1"/>
  <c r="H10" i="5"/>
  <c r="J10" i="5" s="1"/>
  <c r="K10" i="5" s="1"/>
  <c r="H8" i="4"/>
  <c r="J8" i="4" s="1"/>
  <c r="K8" i="4" s="1"/>
  <c r="H7" i="4"/>
  <c r="J7" i="4" s="1"/>
  <c r="K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Brian Kennemer</author>
  </authors>
  <commentList>
    <comment ref="N4" authorId="0" shapeId="0" xr:uid="{00000000-0006-0000-0000-000001000000}">
      <text>
        <r>
          <rPr>
            <sz val="11"/>
            <color rgb="FF000000"/>
            <rFont val="Helvetica"/>
            <family val="2"/>
          </rPr>
          <t>Si el riesgo ocurre.¿Qué efectos adversos al proyecto pueden esperarse?</t>
        </r>
      </text>
    </comment>
    <comment ref="O4" authorId="0" shapeId="0" xr:uid="{00000000-0006-0000-0000-000002000000}">
      <text>
        <r>
          <rPr>
            <sz val="11"/>
            <color rgb="FF000000"/>
            <rFont val="Helvetica"/>
            <family val="2"/>
          </rPr>
          <t>¿Qué medidas se deben tomar para que no ocurra el evento de riesgo?</t>
        </r>
      </text>
    </comment>
    <comment ref="R4" authorId="0" shapeId="0" xr:uid="{00000000-0006-0000-0000-000003000000}">
      <text>
        <r>
          <rPr>
            <sz val="11"/>
            <color rgb="FF000000"/>
            <rFont val="Helvetica"/>
            <family val="2"/>
          </rPr>
          <t xml:space="preserve">¿Cómo saber cuando el riesgo se ha materializado?
</t>
        </r>
        <r>
          <rPr>
            <sz val="11"/>
            <color rgb="FF000000"/>
            <rFont val="Helvetica"/>
            <family val="2"/>
          </rPr>
          <t>¿Qué indicaciones se puede buscar?</t>
        </r>
      </text>
    </comment>
    <comment ref="S4" authorId="0" shapeId="0" xr:uid="{00000000-0006-0000-0000-000004000000}">
      <text>
        <r>
          <rPr>
            <sz val="11"/>
            <color rgb="FF000000"/>
            <rFont val="Helvetica"/>
            <family val="2"/>
          </rPr>
          <t>Si el evento ocurre, ¿qué podemos hacer para limitar los efectos dañinos?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Brian Kennemer</author>
  </authors>
  <commentList>
    <comment ref="M4" authorId="0" shapeId="0" xr:uid="{00000000-0006-0000-0100-000001000000}">
      <text>
        <r>
          <rPr>
            <sz val="11"/>
            <color indexed="81"/>
            <rFont val="Helvetica"/>
            <family val="2"/>
          </rPr>
          <t>Si el riesgo ocurre.¿Qué efectos adversos al proyecto pueden esperarse?</t>
        </r>
      </text>
    </comment>
    <comment ref="N4" authorId="0" shapeId="0" xr:uid="{00000000-0006-0000-0100-000002000000}">
      <text>
        <r>
          <rPr>
            <sz val="11"/>
            <color rgb="FF000000"/>
            <rFont val="Helvetica"/>
            <family val="2"/>
          </rPr>
          <t>¿Qué medidas se deben tomar para que no ocurra el evento de riesgo?</t>
        </r>
      </text>
    </comment>
    <comment ref="Q4" authorId="0" shapeId="0" xr:uid="{00000000-0006-0000-0100-000003000000}">
      <text>
        <r>
          <rPr>
            <sz val="11"/>
            <color indexed="81"/>
            <rFont val="Helvetica"/>
            <family val="2"/>
          </rPr>
          <t>¿Cómo saber cuando el riesgo se ha materializado?
¿Qué indicaciones se puede buscar?</t>
        </r>
      </text>
    </comment>
    <comment ref="R4" authorId="0" shapeId="0" xr:uid="{00000000-0006-0000-0100-000004000000}">
      <text>
        <r>
          <rPr>
            <sz val="11"/>
            <color indexed="81"/>
            <rFont val="Helvetica"/>
            <family val="2"/>
          </rPr>
          <t>Si el evento ocurre, ¿qué podemos hacer para limitar los efectos dañinos?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Brian Kennemer</author>
  </authors>
  <commentList>
    <comment ref="M4" authorId="0" shapeId="0" xr:uid="{00000000-0006-0000-0200-000001000000}">
      <text>
        <r>
          <rPr>
            <sz val="11"/>
            <color indexed="81"/>
            <rFont val="Helvetica"/>
            <family val="2"/>
          </rPr>
          <t>Si el riesgo ocurre.¿Qué efectos adversos al proyecto pueden esperarse?</t>
        </r>
      </text>
    </comment>
    <comment ref="N4" authorId="0" shapeId="0" xr:uid="{00000000-0006-0000-0200-000002000000}">
      <text>
        <r>
          <rPr>
            <sz val="11"/>
            <color rgb="FF000000"/>
            <rFont val="Helvetica"/>
            <family val="2"/>
          </rPr>
          <t>¿Qué medidas se deben tomar para que no ocurra el evento de riesgo?</t>
        </r>
      </text>
    </comment>
    <comment ref="Q4" authorId="0" shapeId="0" xr:uid="{00000000-0006-0000-0200-000003000000}">
      <text>
        <r>
          <rPr>
            <sz val="11"/>
            <color rgb="FF000000"/>
            <rFont val="Helvetica"/>
            <family val="2"/>
          </rPr>
          <t xml:space="preserve">¿Cómo saber cuando el riesgo se ha materializado?
</t>
        </r>
        <r>
          <rPr>
            <sz val="11"/>
            <color rgb="FF000000"/>
            <rFont val="Helvetica"/>
            <family val="2"/>
          </rPr>
          <t xml:space="preserve">¿Qué indicaciones se puede buscar?
</t>
        </r>
      </text>
    </comment>
    <comment ref="R4" authorId="0" shapeId="0" xr:uid="{00000000-0006-0000-0200-000004000000}">
      <text>
        <r>
          <rPr>
            <sz val="11"/>
            <color indexed="81"/>
            <rFont val="Helvetica"/>
            <family val="2"/>
          </rPr>
          <t>Si el evento ocurre, ¿qué podemos hacer para limitar los efectos dañinos?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Brian Kennemer</author>
  </authors>
  <commentList>
    <comment ref="M4" authorId="0" shapeId="0" xr:uid="{00000000-0006-0000-0300-000001000000}">
      <text>
        <r>
          <rPr>
            <sz val="11"/>
            <color rgb="FF000000"/>
            <rFont val="Helvetica"/>
            <family val="2"/>
          </rPr>
          <t>Si el riesgo ocurre.¿Qué efectos adversos al proyecto pueden esperarse?</t>
        </r>
      </text>
    </comment>
    <comment ref="N4" authorId="0" shapeId="0" xr:uid="{00000000-0006-0000-0300-000002000000}">
      <text>
        <r>
          <rPr>
            <sz val="11"/>
            <color rgb="FF000000"/>
            <rFont val="Helvetica"/>
            <family val="2"/>
          </rPr>
          <t>¿Qué medidas se deben tomar para que no ocurra el evento de riesgo?</t>
        </r>
      </text>
    </comment>
    <comment ref="Q4" authorId="0" shapeId="0" xr:uid="{00000000-0006-0000-0300-000003000000}">
      <text>
        <r>
          <rPr>
            <sz val="11"/>
            <color indexed="81"/>
            <rFont val="Helvetica"/>
            <family val="2"/>
          </rPr>
          <t>¿Cómo saber cuando el riesgo se ha materializado?
¿Qué indicaciones se puede buscar?</t>
        </r>
      </text>
    </comment>
    <comment ref="R4" authorId="0" shapeId="0" xr:uid="{00000000-0006-0000-0300-000004000000}">
      <text>
        <r>
          <rPr>
            <sz val="11"/>
            <color indexed="81"/>
            <rFont val="Helvetica"/>
            <family val="2"/>
          </rPr>
          <t>Si el evento ocurre, ¿qué podemos hacer para limitar los efectos dañinos?</t>
        </r>
      </text>
    </comment>
  </commentList>
</comments>
</file>

<file path=xl/sharedStrings.xml><?xml version="1.0" encoding="utf-8"?>
<sst xmlns="http://schemas.openxmlformats.org/spreadsheetml/2006/main" count="242" uniqueCount="123">
  <si>
    <t>DESCRIPCIÓN</t>
  </si>
  <si>
    <t>Votación</t>
  </si>
  <si>
    <t>Total</t>
  </si>
  <si>
    <t>1.</t>
  </si>
  <si>
    <t>2.</t>
  </si>
  <si>
    <t>3.</t>
  </si>
  <si>
    <t>Tiempo</t>
  </si>
  <si>
    <t>Costo</t>
  </si>
  <si>
    <t>Alcance</t>
  </si>
  <si>
    <t>Calidad</t>
  </si>
  <si>
    <t>Valoración del parámetro</t>
  </si>
  <si>
    <t>4.</t>
  </si>
  <si>
    <t>5.</t>
  </si>
  <si>
    <t>Probabilidad de ocurrencia del riesgo</t>
  </si>
  <si>
    <t>Probabilidad vs Impacto</t>
  </si>
  <si>
    <t>Nivel del riesgo</t>
  </si>
  <si>
    <t>MATRIZ DE PROBABILIDAD E IMPACTO</t>
  </si>
  <si>
    <t>PROBABILIDAD</t>
  </si>
  <si>
    <t>Muy Alto</t>
  </si>
  <si>
    <t>Alto</t>
  </si>
  <si>
    <t>Medio</t>
  </si>
  <si>
    <t>Bajo</t>
  </si>
  <si>
    <t>Muy Bajo</t>
  </si>
  <si>
    <t>Muy bajo</t>
  </si>
  <si>
    <t>IMPACTO</t>
  </si>
  <si>
    <t>Calificación riesgos: 1 o menos de 1</t>
  </si>
  <si>
    <t>Moderado</t>
  </si>
  <si>
    <t xml:space="preserve">Mayor que 1 y hasta 2.1     </t>
  </si>
  <si>
    <t xml:space="preserve">Mayor que 2.1                               </t>
  </si>
  <si>
    <t>Estrategias</t>
  </si>
  <si>
    <t>Mitigar</t>
  </si>
  <si>
    <t>Evitar</t>
  </si>
  <si>
    <t>Transferir</t>
  </si>
  <si>
    <t>Aceptar</t>
  </si>
  <si>
    <t>Amenazas y Debilidades</t>
  </si>
  <si>
    <t>Explotar</t>
  </si>
  <si>
    <t>compartir</t>
  </si>
  <si>
    <t>Mejorar</t>
  </si>
  <si>
    <t>Oportunidades y Fortalezas</t>
  </si>
  <si>
    <t>Nivel de Riesgo</t>
  </si>
  <si>
    <t>Efecto</t>
  </si>
  <si>
    <t>Evento Disparador</t>
  </si>
  <si>
    <t>Plan de contingencia</t>
  </si>
  <si>
    <r>
      <t xml:space="preserve">Encargado
</t>
    </r>
    <r>
      <rPr>
        <sz val="8"/>
        <color theme="1"/>
        <rFont val="Verdana"/>
        <family val="2"/>
      </rPr>
      <t>Nombre/Rol</t>
    </r>
  </si>
  <si>
    <r>
      <t xml:space="preserve">Fecha
</t>
    </r>
    <r>
      <rPr>
        <sz val="8"/>
        <color theme="1"/>
        <rFont val="Verdana"/>
        <family val="2"/>
      </rPr>
      <t>Compromiso</t>
    </r>
  </si>
  <si>
    <t>Respuesta</t>
  </si>
  <si>
    <t>Un equipo motivado alcanza el objetivo del prpyecto</t>
  </si>
  <si>
    <t>Cumplimiento de tiempos y costos</t>
  </si>
  <si>
    <t>GP</t>
  </si>
  <si>
    <t>NA</t>
  </si>
  <si>
    <t>Realizar reuniones en las que se resalte el trabajo de los integrantes</t>
  </si>
  <si>
    <t>El equipo tiene una buena comunicación</t>
  </si>
  <si>
    <t>El equipo se motiva por la importancia del conocimiento aprendido por el proyecto</t>
  </si>
  <si>
    <t>El equipo tiene un conocimiento previo en gestion de proyectos</t>
  </si>
  <si>
    <t>El equipo que se comunica, comete menos errores</t>
  </si>
  <si>
    <t>Se realizan menos cambios durante los splits</t>
  </si>
  <si>
    <t>Se empieza bajo una mejor base el proyecto</t>
  </si>
  <si>
    <t>Se adelantan cosas basicas que cuestan tiempo</t>
  </si>
  <si>
    <t>Todos</t>
  </si>
  <si>
    <t>Reuniones positivas, seguimiento continuo, respeto entre las recomendaciones o acusaciones entre el equipo</t>
  </si>
  <si>
    <t xml:space="preserve">Splits sanos, reuniones continuas y conscisas, y entrega de avances </t>
  </si>
  <si>
    <t>Haber tenido que trabajar en algun proyecto de este tipo</t>
  </si>
  <si>
    <t xml:space="preserve">Realizar mas actividades fuera del campo laboral, para asi generar mas calma entre el equipo y lograr mejor comunicación </t>
  </si>
  <si>
    <t>Estudiar todo lo necesario para poder tener mas experiencia y no llegar con nada frente al proyecto</t>
  </si>
  <si>
    <t>Creciente digitalizacion del sector de la salud: Telemedicina</t>
  </si>
  <si>
    <t>Acceso a la informacion publica de la gestion de una EPS</t>
  </si>
  <si>
    <t>Podemos entrevistar a una EPS completa gracias a un familiar del equipo</t>
  </si>
  <si>
    <t>Tendremos menos errores en la gestion de nuestro programa</t>
  </si>
  <si>
    <t>Como ya hay digitalizacion en este sector, podemos aprovecharnos para realizar mejoras a lo que ya esta hecho</t>
  </si>
  <si>
    <t>Si pasa esto lograriamos un proyecto con una informacion inicial unica</t>
  </si>
  <si>
    <t>Un mejor proyecto si sabemos desarrollarlo</t>
  </si>
  <si>
    <t>Teniendo cosas pre hechas, tendriamos menos preocupaciones por lo basico</t>
  </si>
  <si>
    <t>Recoleccion de mucha informacion esencial</t>
  </si>
  <si>
    <t>PO</t>
  </si>
  <si>
    <t>Que el familiar del compañero de equipo acepte vernos a todos parapoder hacer una reunion y recolectar informacion</t>
  </si>
  <si>
    <t>Tecnologia en crecimiento</t>
  </si>
  <si>
    <t>Aunque es muy poco probable, esto sucederia en una reforma demasiado increible, o un hackeo</t>
  </si>
  <si>
    <t>Pedir en una EPS el poder hablar con un directivo para un proyecto universitario</t>
  </si>
  <si>
    <t>No hay plan de contingencia porque esto es algo que esta sucediendo</t>
  </si>
  <si>
    <t>No hay plan porque esto es algo muy poco probable, e igual debemos prepararnos para esforzarnos para recolectar todo tipo de informacion</t>
  </si>
  <si>
    <t>Falta de experiencia en proyectos</t>
  </si>
  <si>
    <t>Dificultad en lograr que todos estemos en cada reunion</t>
  </si>
  <si>
    <t>Lograr que haya un respeto mutuo en cada reunion</t>
  </si>
  <si>
    <t>Carga estudiantil de cada integrante</t>
  </si>
  <si>
    <t>Poco conocimiento del sector de la salud a profundo</t>
  </si>
  <si>
    <t>Nos puede generar una carga de mas tiempo para lograr buenos resultados en el proyecto</t>
  </si>
  <si>
    <t>Esto generara que no todos esten enterados de los cambios, mejoras, y demas cosas que sucedan en los splits</t>
  </si>
  <si>
    <t>Esto generara una division en el grupo de trabajo</t>
  </si>
  <si>
    <t>Como somos estudiantes universitarios, tenemos demas materias aparte de la del proyecto</t>
  </si>
  <si>
    <t>Retrazara la generacion del proyecto</t>
  </si>
  <si>
    <t>Estudiar cada uno su rol para saber que hacer</t>
  </si>
  <si>
    <t>Cuadrar horarios predefinidos donde se sabe que ninguno esta ocupado</t>
  </si>
  <si>
    <t>Hablar las cosas como son, pero sin tener que atacar al otro</t>
  </si>
  <si>
    <t>Cada uno manejar sus tiempos y darle uno al proyecto</t>
  </si>
  <si>
    <t>Estudiar el sector por medio de entrevistas, programas, etc</t>
  </si>
  <si>
    <t>Diagnostico del proyecto</t>
  </si>
  <si>
    <t>Splits</t>
  </si>
  <si>
    <t>Sobrecarga en las demas materias cursadas de cada estudiante</t>
  </si>
  <si>
    <t>Apoyarnos en cosas ya estructuradas para saber que hacer en el proyecto</t>
  </si>
  <si>
    <t>Si todos no podemos estar en cada reunion, esta debe ser igualmente documentada</t>
  </si>
  <si>
    <t>Cada uno hablar sus cosas personalmente con quien tiene problemas para llegar a un acuerdo</t>
  </si>
  <si>
    <t>El GP debe distribuir tareas priorizadas dependiendo el rol y su carga externa</t>
  </si>
  <si>
    <t>Estudiarlo</t>
  </si>
  <si>
    <t>Reforma a la salud( Normativas, protocolos, etc )</t>
  </si>
  <si>
    <t>Desercion de uno o mas integrantes del proyecto( falta de compromiso, trabajo, etc)</t>
  </si>
  <si>
    <t>Dependencia de una EPS para recolectar informacion</t>
  </si>
  <si>
    <t>Perdida de archivos o documentos</t>
  </si>
  <si>
    <t>Cambios bruscos durante proyecto que generan problemas</t>
  </si>
  <si>
    <t>Mas trabajo para los demas integrantes</t>
  </si>
  <si>
    <t>Menor alcance para el proyecto</t>
  </si>
  <si>
    <t xml:space="preserve">Repeticion de splits </t>
  </si>
  <si>
    <t>Hacer los cambios necesarios</t>
  </si>
  <si>
    <t>Reagruparse y mitigar esa falta</t>
  </si>
  <si>
    <t>Buscar mas opciones de informacion</t>
  </si>
  <si>
    <t>Repetir las reuniones y guardar todo</t>
  </si>
  <si>
    <t>Nuevo presidente</t>
  </si>
  <si>
    <t>Peleas constantes</t>
  </si>
  <si>
    <t>Pocas entrevistas y busqueda de oportunidades</t>
  </si>
  <si>
    <t>Mal manejo de los archivos</t>
  </si>
  <si>
    <t>Adaptarnos y poner en funcion estas nuevas normas</t>
  </si>
  <si>
    <t>Lograr un acuerdo de solucion o esforzarnos mas</t>
  </si>
  <si>
    <t>Entrevistar mas EPS</t>
  </si>
  <si>
    <t>Tener copias de los documentos de cada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</si>
</sst>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1"/>
      <color indexed="81"/>
      <name val="Helvetic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Helvetica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3" borderId="6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2" borderId="1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3" fillId="7" borderId="9" xfId="0" applyFont="1" applyFill="1" applyBorder="1"/>
    <xf numFmtId="0" fontId="3" fillId="7" borderId="10" xfId="0" applyFont="1" applyFill="1" applyBorder="1"/>
    <xf numFmtId="0" fontId="1" fillId="2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wrapText="1"/>
    </xf>
    <xf numFmtId="1" fontId="0" fillId="0" borderId="9" xfId="0" applyNumberFormat="1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5" borderId="9" xfId="0" applyFill="1" applyBorder="1"/>
    <xf numFmtId="0" fontId="0" fillId="6" borderId="9" xfId="0" applyFill="1" applyBorder="1"/>
    <xf numFmtId="0" fontId="2" fillId="0" borderId="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wrapText="1"/>
    </xf>
    <xf numFmtId="49" fontId="8" fillId="0" borderId="9" xfId="0" applyNumberFormat="1" applyFont="1" applyBorder="1" applyAlignment="1">
      <alignment horizontal="left" vertical="center" wrapText="1"/>
    </xf>
    <xf numFmtId="0" fontId="9" fillId="0" borderId="0" xfId="0" applyFont="1"/>
    <xf numFmtId="0" fontId="10" fillId="0" borderId="0" xfId="0" applyFont="1" applyAlignment="1">
      <alignment wrapText="1"/>
    </xf>
    <xf numFmtId="0" fontId="3" fillId="8" borderId="9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0" fillId="0" borderId="9" xfId="0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6" fillId="0" borderId="6" xfId="0" applyFont="1" applyBorder="1" applyAlignment="1">
      <alignment wrapText="1"/>
    </xf>
    <xf numFmtId="0" fontId="1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12"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X16"/>
  <sheetViews>
    <sheetView topLeftCell="G1" zoomScale="60" zoomScaleNormal="60" workbookViewId="0">
      <selection activeCell="N24" sqref="N22:S24"/>
    </sheetView>
  </sheetViews>
  <sheetFormatPr baseColWidth="10" defaultRowHeight="14.5" x14ac:dyDescent="0.35"/>
  <cols>
    <col min="2" max="2" width="5.453125" customWidth="1"/>
    <col min="3" max="3" width="6.453125" customWidth="1"/>
    <col min="4" max="4" width="40" customWidth="1"/>
    <col min="9" max="9" width="11.453125" style="9"/>
    <col min="10" max="10" width="15.6328125" customWidth="1"/>
    <col min="11" max="11" width="15.36328125" customWidth="1"/>
    <col min="13" max="13" width="13.1796875" bestFit="1" customWidth="1"/>
    <col min="14" max="14" width="25.36328125" customWidth="1"/>
    <col min="15" max="15" width="16.81640625" customWidth="1"/>
    <col min="16" max="16" width="11" bestFit="1" customWidth="1"/>
    <col min="17" max="17" width="19.453125" bestFit="1" customWidth="1"/>
    <col min="18" max="18" width="54.453125" bestFit="1" customWidth="1"/>
    <col min="19" max="19" width="54.36328125" bestFit="1" customWidth="1"/>
  </cols>
  <sheetData>
    <row r="2" spans="3:24" ht="15" thickBot="1" x14ac:dyDescent="0.4"/>
    <row r="3" spans="3:24" ht="15.75" customHeight="1" thickBot="1" x14ac:dyDescent="0.4">
      <c r="D3" s="16" t="s">
        <v>10</v>
      </c>
      <c r="E3" s="37">
        <v>0.2</v>
      </c>
      <c r="F3" s="37">
        <v>0.2</v>
      </c>
      <c r="G3" s="37">
        <v>0.3</v>
      </c>
      <c r="H3" s="37">
        <v>0.3</v>
      </c>
      <c r="I3" s="8"/>
      <c r="K3" s="17" t="s">
        <v>15</v>
      </c>
    </row>
    <row r="4" spans="3:24" ht="15.75" customHeight="1" thickBot="1" x14ac:dyDescent="0.4">
      <c r="C4" s="41" t="s">
        <v>0</v>
      </c>
      <c r="D4" s="42"/>
      <c r="E4" s="45" t="s">
        <v>1</v>
      </c>
      <c r="F4" s="46"/>
      <c r="G4" s="46"/>
      <c r="H4" s="46"/>
      <c r="I4" s="47" t="s">
        <v>2</v>
      </c>
      <c r="J4" s="47" t="s">
        <v>13</v>
      </c>
      <c r="K4" s="47" t="s">
        <v>14</v>
      </c>
      <c r="L4" s="39" t="s">
        <v>39</v>
      </c>
      <c r="M4" s="39" t="s">
        <v>29</v>
      </c>
      <c r="N4" s="39" t="s">
        <v>40</v>
      </c>
      <c r="O4" s="39" t="s">
        <v>45</v>
      </c>
      <c r="P4" s="50" t="s">
        <v>43</v>
      </c>
      <c r="Q4" s="50" t="s">
        <v>44</v>
      </c>
      <c r="R4" s="39" t="s">
        <v>41</v>
      </c>
      <c r="S4" s="39" t="s">
        <v>42</v>
      </c>
    </row>
    <row r="5" spans="3:24" ht="28.5" customHeight="1" thickBot="1" x14ac:dyDescent="0.4">
      <c r="C5" s="43"/>
      <c r="D5" s="44"/>
      <c r="E5" s="4" t="s">
        <v>6</v>
      </c>
      <c r="F5" s="4" t="s">
        <v>7</v>
      </c>
      <c r="G5" s="4" t="s">
        <v>8</v>
      </c>
      <c r="H5" s="5" t="s">
        <v>9</v>
      </c>
      <c r="I5" s="48"/>
      <c r="J5" s="49"/>
      <c r="K5" s="49"/>
      <c r="L5" s="40"/>
      <c r="M5" s="40"/>
      <c r="N5" s="40"/>
      <c r="O5" s="40"/>
      <c r="P5" s="51"/>
      <c r="Q5" s="51"/>
      <c r="R5" s="40"/>
      <c r="S5" s="40"/>
    </row>
    <row r="6" spans="3:24" ht="44" thickBot="1" x14ac:dyDescent="0.4">
      <c r="C6" s="1" t="s">
        <v>3</v>
      </c>
      <c r="D6" s="27" t="s">
        <v>51</v>
      </c>
      <c r="E6" s="3">
        <v>5</v>
      </c>
      <c r="F6" s="3">
        <v>4.5</v>
      </c>
      <c r="G6" s="3">
        <v>5</v>
      </c>
      <c r="H6" s="3">
        <v>4</v>
      </c>
      <c r="I6" s="12">
        <f>(E6*$E$3)+(F6*$F$3)+(G6*$G$3)+(H6*$H$3)</f>
        <v>4.5999999999999996</v>
      </c>
      <c r="J6" s="15">
        <v>0.8</v>
      </c>
      <c r="K6" s="15">
        <f>+J6*I6</f>
        <v>3.6799999999999997</v>
      </c>
      <c r="L6" s="15" t="str">
        <f>IF(K6&lt;=1,"Bajo",IF(AND(K6&gt;1,K6&lt;=2.1),"Moderado","Alto"))</f>
        <v>Alto</v>
      </c>
      <c r="M6" s="15" t="s">
        <v>35</v>
      </c>
      <c r="N6" s="28" t="s">
        <v>54</v>
      </c>
      <c r="O6" s="28" t="s">
        <v>55</v>
      </c>
      <c r="P6" s="13" t="s">
        <v>48</v>
      </c>
      <c r="Q6" s="13" t="s">
        <v>49</v>
      </c>
      <c r="R6" s="30" t="s">
        <v>59</v>
      </c>
      <c r="S6" s="30" t="s">
        <v>62</v>
      </c>
    </row>
    <row r="7" spans="3:24" ht="48.5" customHeight="1" thickBot="1" x14ac:dyDescent="0.4">
      <c r="C7" s="1" t="s">
        <v>4</v>
      </c>
      <c r="D7" s="27" t="s">
        <v>52</v>
      </c>
      <c r="E7" s="3">
        <v>5</v>
      </c>
      <c r="F7" s="3">
        <v>4</v>
      </c>
      <c r="G7" s="3">
        <v>4</v>
      </c>
      <c r="H7" s="3">
        <v>5</v>
      </c>
      <c r="I7" s="12">
        <f>(E7*$E$3)+(F7*$F$3)+(G7*$G$3)+(H7*$H$3)</f>
        <v>4.5</v>
      </c>
      <c r="J7" s="15">
        <v>1</v>
      </c>
      <c r="K7" s="15">
        <f>+J7*I7</f>
        <v>4.5</v>
      </c>
      <c r="L7" s="15" t="str">
        <f>IF(K7&lt;=1,"Bajo",IF(AND(K7&gt;1,K7&lt;=2.1),"Moderado","Alto"))</f>
        <v>Alto</v>
      </c>
      <c r="M7" s="15" t="s">
        <v>35</v>
      </c>
      <c r="N7" s="28" t="s">
        <v>46</v>
      </c>
      <c r="O7" s="28" t="s">
        <v>47</v>
      </c>
      <c r="P7" s="28" t="s">
        <v>58</v>
      </c>
      <c r="Q7" s="13" t="s">
        <v>49</v>
      </c>
      <c r="R7" s="30" t="s">
        <v>60</v>
      </c>
      <c r="S7" s="30" t="s">
        <v>50</v>
      </c>
    </row>
    <row r="8" spans="3:24" ht="48.5" customHeight="1" thickBot="1" x14ac:dyDescent="0.4">
      <c r="C8" s="1" t="s">
        <v>5</v>
      </c>
      <c r="D8" s="27" t="s">
        <v>53</v>
      </c>
      <c r="E8" s="3">
        <v>5</v>
      </c>
      <c r="F8" s="3">
        <v>5</v>
      </c>
      <c r="G8" s="3">
        <v>5</v>
      </c>
      <c r="H8" s="3">
        <v>4.5</v>
      </c>
      <c r="I8" s="12">
        <f>(E8*$E$3)+(F8*$F$3)+(G8*$G$3)+(H8*$H$3)</f>
        <v>4.8499999999999996</v>
      </c>
      <c r="J8" s="15">
        <v>0.5</v>
      </c>
      <c r="K8" s="15">
        <f>+J8*I8</f>
        <v>2.4249999999999998</v>
      </c>
      <c r="L8" s="15" t="str">
        <f>IF(K8&lt;=1,"Bajo",IF(AND(K8&gt;1,K8&lt;=2.1),"Moderado","Alto"))</f>
        <v>Alto</v>
      </c>
      <c r="M8" s="15" t="s">
        <v>37</v>
      </c>
      <c r="N8" s="28" t="s">
        <v>56</v>
      </c>
      <c r="O8" s="28" t="s">
        <v>57</v>
      </c>
      <c r="P8" s="28" t="s">
        <v>58</v>
      </c>
      <c r="Q8" s="13" t="s">
        <v>49</v>
      </c>
      <c r="R8" s="30" t="s">
        <v>61</v>
      </c>
      <c r="S8" s="30" t="s">
        <v>63</v>
      </c>
    </row>
    <row r="10" spans="3:24" hidden="1" x14ac:dyDescent="0.35">
      <c r="V10" t="s">
        <v>34</v>
      </c>
      <c r="X10" t="s">
        <v>38</v>
      </c>
    </row>
    <row r="11" spans="3:24" hidden="1" x14ac:dyDescent="0.35">
      <c r="V11" t="s">
        <v>29</v>
      </c>
      <c r="X11" t="s">
        <v>29</v>
      </c>
    </row>
    <row r="12" spans="3:24" hidden="1" x14ac:dyDescent="0.35">
      <c r="V12" t="s">
        <v>31</v>
      </c>
      <c r="X12" t="s">
        <v>35</v>
      </c>
    </row>
    <row r="13" spans="3:24" hidden="1" x14ac:dyDescent="0.35">
      <c r="V13" t="s">
        <v>32</v>
      </c>
      <c r="X13" t="s">
        <v>36</v>
      </c>
    </row>
    <row r="14" spans="3:24" hidden="1" x14ac:dyDescent="0.35">
      <c r="V14" t="s">
        <v>30</v>
      </c>
      <c r="X14" t="s">
        <v>37</v>
      </c>
    </row>
    <row r="15" spans="3:24" hidden="1" x14ac:dyDescent="0.35">
      <c r="V15" t="s">
        <v>33</v>
      </c>
      <c r="X15" t="s">
        <v>33</v>
      </c>
    </row>
    <row r="16" spans="3:24" hidden="1" x14ac:dyDescent="0.35"/>
  </sheetData>
  <mergeCells count="13">
    <mergeCell ref="O4:O5"/>
    <mergeCell ref="P4:P5"/>
    <mergeCell ref="Q4:Q5"/>
    <mergeCell ref="R4:R5"/>
    <mergeCell ref="S4:S5"/>
    <mergeCell ref="N4:N5"/>
    <mergeCell ref="M4:M5"/>
    <mergeCell ref="L4:L5"/>
    <mergeCell ref="C4:D5"/>
    <mergeCell ref="E4:H4"/>
    <mergeCell ref="I4:I5"/>
    <mergeCell ref="J4:J5"/>
    <mergeCell ref="K4:K5"/>
  </mergeCells>
  <conditionalFormatting sqref="L6:L8">
    <cfRule type="cellIs" dxfId="11" priority="9" operator="equal">
      <formula>"Bajo"</formula>
    </cfRule>
    <cfRule type="cellIs" dxfId="10" priority="10" operator="equal">
      <formula>"Moderado"</formula>
    </cfRule>
    <cfRule type="cellIs" dxfId="9" priority="11" operator="equal">
      <formula>"alto"</formula>
    </cfRule>
  </conditionalFormatting>
  <dataValidations count="1">
    <dataValidation type="list" allowBlank="1" showInputMessage="1" showErrorMessage="1" sqref="M6:M8" xr:uid="{00000000-0002-0000-0000-000000000000}">
      <formula1>OportunidadesFortalezas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8"/>
  <sheetViews>
    <sheetView topLeftCell="C1" zoomScale="48" zoomScaleNormal="48" workbookViewId="0">
      <selection activeCell="C9" sqref="A9:XFD9"/>
    </sheetView>
  </sheetViews>
  <sheetFormatPr baseColWidth="10" defaultRowHeight="14.5" x14ac:dyDescent="0.35"/>
  <cols>
    <col min="1" max="2" width="6.453125" customWidth="1"/>
    <col min="3" max="3" width="40" customWidth="1"/>
    <col min="9" max="9" width="15.453125" customWidth="1"/>
    <col min="10" max="10" width="17" customWidth="1"/>
    <col min="11" max="11" width="16.81640625" bestFit="1" customWidth="1"/>
    <col min="12" max="12" width="13.1796875" bestFit="1" customWidth="1"/>
    <col min="13" max="13" width="16.81640625" customWidth="1"/>
    <col min="14" max="14" width="15.453125" customWidth="1"/>
    <col min="15" max="15" width="21.1796875" bestFit="1" customWidth="1"/>
    <col min="16" max="16" width="20.453125" bestFit="1" customWidth="1"/>
    <col min="17" max="17" width="50.6328125" customWidth="1"/>
    <col min="18" max="18" width="41.453125" customWidth="1"/>
    <col min="19" max="19" width="22.81640625" customWidth="1"/>
  </cols>
  <sheetData>
    <row r="2" spans="2:19" ht="15" thickBot="1" x14ac:dyDescent="0.4"/>
    <row r="3" spans="2:19" ht="15.75" customHeight="1" thickBot="1" x14ac:dyDescent="0.4">
      <c r="C3" s="16" t="s">
        <v>10</v>
      </c>
      <c r="D3" s="37">
        <v>0.2</v>
      </c>
      <c r="E3" s="37">
        <v>0.2</v>
      </c>
      <c r="F3" s="37">
        <v>0.3</v>
      </c>
      <c r="G3" s="37">
        <v>0.3</v>
      </c>
      <c r="H3" s="8"/>
      <c r="J3" s="17" t="s">
        <v>15</v>
      </c>
    </row>
    <row r="4" spans="2:19" ht="15" thickBot="1" x14ac:dyDescent="0.4">
      <c r="B4" s="41" t="s">
        <v>0</v>
      </c>
      <c r="C4" s="42"/>
      <c r="D4" s="45" t="s">
        <v>1</v>
      </c>
      <c r="E4" s="46"/>
      <c r="F4" s="46"/>
      <c r="G4" s="46"/>
      <c r="H4" s="47" t="s">
        <v>2</v>
      </c>
      <c r="I4" s="47" t="s">
        <v>13</v>
      </c>
      <c r="J4" s="47" t="s">
        <v>14</v>
      </c>
      <c r="K4" s="39" t="s">
        <v>39</v>
      </c>
      <c r="L4" s="39" t="s">
        <v>29</v>
      </c>
      <c r="M4" s="39" t="s">
        <v>40</v>
      </c>
      <c r="N4" s="39" t="s">
        <v>45</v>
      </c>
      <c r="O4" s="50" t="s">
        <v>43</v>
      </c>
      <c r="P4" s="50" t="s">
        <v>44</v>
      </c>
      <c r="Q4" s="39" t="s">
        <v>41</v>
      </c>
      <c r="R4" s="39" t="s">
        <v>42</v>
      </c>
    </row>
    <row r="5" spans="2:19" ht="28.5" customHeight="1" thickBot="1" x14ac:dyDescent="0.4">
      <c r="B5" s="43"/>
      <c r="C5" s="44"/>
      <c r="D5" s="10" t="s">
        <v>6</v>
      </c>
      <c r="E5" s="10" t="s">
        <v>7</v>
      </c>
      <c r="F5" s="10" t="s">
        <v>8</v>
      </c>
      <c r="G5" s="11" t="s">
        <v>9</v>
      </c>
      <c r="H5" s="52"/>
      <c r="I5" s="53"/>
      <c r="J5" s="53"/>
      <c r="K5" s="55"/>
      <c r="L5" s="55"/>
      <c r="M5" s="55"/>
      <c r="N5" s="40"/>
      <c r="O5" s="54"/>
      <c r="P5" s="54"/>
      <c r="Q5" s="55"/>
      <c r="R5" s="55"/>
    </row>
    <row r="6" spans="2:19" ht="44.5" customHeight="1" thickBot="1" x14ac:dyDescent="0.4">
      <c r="B6" s="1" t="s">
        <v>3</v>
      </c>
      <c r="C6" s="6" t="s">
        <v>66</v>
      </c>
      <c r="D6" s="12">
        <v>5</v>
      </c>
      <c r="E6" s="12">
        <v>4</v>
      </c>
      <c r="F6" s="12">
        <v>5</v>
      </c>
      <c r="G6" s="12">
        <v>5</v>
      </c>
      <c r="H6" s="12">
        <f>(D6*$D$3)+(E6*$E$3)+(F6*$F$3)+(G6*$G$3)</f>
        <v>4.8</v>
      </c>
      <c r="I6" s="12">
        <v>1</v>
      </c>
      <c r="J6" s="15">
        <f>+I6*H6</f>
        <v>4.8</v>
      </c>
      <c r="K6" s="15" t="str">
        <f>IF(J6&lt;=1,"Bajo",IF(AND(J6&gt;1,J6&lt;=2.1),"Moderado","Alto"))</f>
        <v>Alto</v>
      </c>
      <c r="L6" s="15" t="s">
        <v>35</v>
      </c>
      <c r="M6" s="68" t="s">
        <v>67</v>
      </c>
      <c r="N6" s="68" t="s">
        <v>72</v>
      </c>
      <c r="O6" s="15" t="s">
        <v>73</v>
      </c>
      <c r="P6" s="29" t="s">
        <v>49</v>
      </c>
      <c r="Q6" s="31" t="s">
        <v>74</v>
      </c>
      <c r="R6" s="30" t="s">
        <v>77</v>
      </c>
      <c r="S6" s="36"/>
    </row>
    <row r="7" spans="2:19" ht="73" customHeight="1" thickBot="1" x14ac:dyDescent="0.4">
      <c r="B7" s="1" t="s">
        <v>4</v>
      </c>
      <c r="C7" s="7" t="s">
        <v>64</v>
      </c>
      <c r="D7" s="12">
        <v>3</v>
      </c>
      <c r="E7" s="12">
        <v>2</v>
      </c>
      <c r="F7" s="12">
        <v>4</v>
      </c>
      <c r="G7" s="12">
        <v>5</v>
      </c>
      <c r="H7" s="12">
        <f t="shared" ref="H7" si="0">(D7*$D$3)+(E7*$E$3)+(F7*$F$3)+(G7*$G$3)</f>
        <v>3.7</v>
      </c>
      <c r="I7" s="15">
        <v>1</v>
      </c>
      <c r="J7" s="15">
        <f>+I7*H7</f>
        <v>3.7</v>
      </c>
      <c r="K7" s="15" t="str">
        <f t="shared" ref="K7:K8" si="1">IF(J7&lt;=1,"Bajo",IF(AND(J7&gt;1,J7&lt;=2.1),"Moderado","Alto"))</f>
        <v>Alto</v>
      </c>
      <c r="L7" s="15" t="s">
        <v>37</v>
      </c>
      <c r="M7" s="68" t="s">
        <v>68</v>
      </c>
      <c r="N7" s="68" t="s">
        <v>71</v>
      </c>
      <c r="O7" s="15" t="s">
        <v>58</v>
      </c>
      <c r="P7" s="29" t="s">
        <v>49</v>
      </c>
      <c r="Q7" s="31" t="s">
        <v>75</v>
      </c>
      <c r="R7" s="30" t="s">
        <v>78</v>
      </c>
    </row>
    <row r="8" spans="2:19" ht="86.5" customHeight="1" thickBot="1" x14ac:dyDescent="0.4">
      <c r="B8" s="1" t="s">
        <v>5</v>
      </c>
      <c r="C8" s="7" t="s">
        <v>65</v>
      </c>
      <c r="D8" s="12">
        <v>5</v>
      </c>
      <c r="E8" s="12">
        <v>5</v>
      </c>
      <c r="F8" s="12">
        <v>5</v>
      </c>
      <c r="G8" s="12">
        <v>5</v>
      </c>
      <c r="H8" s="12">
        <f>(D8*$D$3)+(E8*$E$3)+(F8*$F$3)+(G8*$G$3)</f>
        <v>5</v>
      </c>
      <c r="I8" s="15">
        <v>0.3</v>
      </c>
      <c r="J8" s="15">
        <f>+I8*H8</f>
        <v>1.5</v>
      </c>
      <c r="K8" s="15" t="str">
        <f t="shared" si="1"/>
        <v>Moderado</v>
      </c>
      <c r="L8" s="15" t="s">
        <v>35</v>
      </c>
      <c r="M8" s="68" t="s">
        <v>69</v>
      </c>
      <c r="N8" s="68" t="s">
        <v>70</v>
      </c>
      <c r="O8" s="15" t="s">
        <v>48</v>
      </c>
      <c r="P8" s="29" t="s">
        <v>49</v>
      </c>
      <c r="Q8" s="31" t="s">
        <v>76</v>
      </c>
      <c r="R8" s="30" t="s">
        <v>79</v>
      </c>
    </row>
  </sheetData>
  <mergeCells count="13">
    <mergeCell ref="P4:P5"/>
    <mergeCell ref="Q4:Q5"/>
    <mergeCell ref="R4:R5"/>
    <mergeCell ref="K4:K5"/>
    <mergeCell ref="L4:L5"/>
    <mergeCell ref="M4:M5"/>
    <mergeCell ref="N4:N5"/>
    <mergeCell ref="O4:O5"/>
    <mergeCell ref="B4:C5"/>
    <mergeCell ref="D4:G4"/>
    <mergeCell ref="H4:H5"/>
    <mergeCell ref="I4:I5"/>
    <mergeCell ref="J4:J5"/>
  </mergeCells>
  <conditionalFormatting sqref="K6:K8">
    <cfRule type="cellIs" dxfId="8" priority="4" operator="equal">
      <formula>"Bajo"</formula>
    </cfRule>
    <cfRule type="cellIs" dxfId="7" priority="5" operator="equal">
      <formula>"Moderado"</formula>
    </cfRule>
    <cfRule type="cellIs" dxfId="6" priority="6" operator="equal">
      <formula>"alto"</formula>
    </cfRule>
  </conditionalFormatting>
  <dataValidations count="1">
    <dataValidation type="list" allowBlank="1" showInputMessage="1" showErrorMessage="1" sqref="L6:L8" xr:uid="{00000000-0002-0000-0100-000000000000}">
      <formula1>OportunidadesFortalezas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11"/>
  <sheetViews>
    <sheetView topLeftCell="D1" zoomScale="51" zoomScaleNormal="51" workbookViewId="0">
      <selection activeCell="S9" sqref="S9"/>
    </sheetView>
  </sheetViews>
  <sheetFormatPr baseColWidth="10" defaultRowHeight="14.5" x14ac:dyDescent="0.35"/>
  <cols>
    <col min="1" max="1" width="5.6328125" customWidth="1"/>
    <col min="2" max="2" width="6.453125" customWidth="1"/>
    <col min="3" max="3" width="40" customWidth="1"/>
    <col min="9" max="9" width="16" customWidth="1"/>
    <col min="10" max="10" width="15.36328125" customWidth="1"/>
    <col min="12" max="12" width="13.1796875" bestFit="1" customWidth="1"/>
    <col min="13" max="13" width="38.6328125" customWidth="1"/>
    <col min="14" max="14" width="37.453125" style="33" customWidth="1"/>
    <col min="15" max="15" width="26.36328125" style="33" customWidth="1"/>
    <col min="16" max="16" width="26.453125" style="33" customWidth="1"/>
    <col min="17" max="17" width="30.453125" style="33" customWidth="1"/>
    <col min="18" max="18" width="28.1796875" style="33" customWidth="1"/>
    <col min="19" max="19" width="22.81640625" customWidth="1"/>
  </cols>
  <sheetData>
    <row r="2" spans="2:19" ht="15" thickBot="1" x14ac:dyDescent="0.4"/>
    <row r="3" spans="2:19" ht="15" thickBot="1" x14ac:dyDescent="0.4">
      <c r="C3" s="17" t="s">
        <v>10</v>
      </c>
      <c r="D3" s="38">
        <v>0.2</v>
      </c>
      <c r="E3" s="38">
        <v>0.3</v>
      </c>
      <c r="F3" s="38">
        <v>0.4</v>
      </c>
      <c r="G3" s="38">
        <v>0.1</v>
      </c>
      <c r="H3" s="8"/>
      <c r="J3" s="17" t="s">
        <v>15</v>
      </c>
    </row>
    <row r="4" spans="2:19" ht="15" thickBot="1" x14ac:dyDescent="0.4">
      <c r="B4" s="56" t="s">
        <v>0</v>
      </c>
      <c r="C4" s="56"/>
      <c r="D4" s="56" t="s">
        <v>1</v>
      </c>
      <c r="E4" s="56"/>
      <c r="F4" s="56"/>
      <c r="G4" s="56"/>
      <c r="H4" s="57" t="s">
        <v>2</v>
      </c>
      <c r="I4" s="57" t="s">
        <v>13</v>
      </c>
      <c r="J4" s="57" t="s">
        <v>14</v>
      </c>
      <c r="K4" s="57" t="s">
        <v>39</v>
      </c>
      <c r="L4" s="57" t="s">
        <v>29</v>
      </c>
      <c r="M4" s="57" t="s">
        <v>40</v>
      </c>
      <c r="N4" s="39" t="s">
        <v>45</v>
      </c>
      <c r="O4" s="60" t="s">
        <v>43</v>
      </c>
      <c r="P4" s="60" t="s">
        <v>44</v>
      </c>
      <c r="Q4" s="57" t="s">
        <v>41</v>
      </c>
      <c r="R4" s="57" t="s">
        <v>42</v>
      </c>
    </row>
    <row r="5" spans="2:19" ht="28.5" customHeight="1" thickBot="1" x14ac:dyDescent="0.4">
      <c r="B5" s="56"/>
      <c r="C5" s="56"/>
      <c r="D5" s="18" t="s">
        <v>6</v>
      </c>
      <c r="E5" s="18" t="s">
        <v>7</v>
      </c>
      <c r="F5" s="18" t="s">
        <v>8</v>
      </c>
      <c r="G5" s="18" t="s">
        <v>9</v>
      </c>
      <c r="H5" s="58"/>
      <c r="I5" s="59"/>
      <c r="J5" s="59"/>
      <c r="K5" s="59"/>
      <c r="L5" s="59"/>
      <c r="M5" s="59"/>
      <c r="N5" s="40"/>
      <c r="O5" s="61"/>
      <c r="P5" s="61"/>
      <c r="Q5" s="58"/>
      <c r="R5" s="58"/>
    </row>
    <row r="6" spans="2:19" ht="71" customHeight="1" thickBot="1" x14ac:dyDescent="0.4">
      <c r="B6" s="19" t="s">
        <v>3</v>
      </c>
      <c r="C6" s="6" t="s">
        <v>80</v>
      </c>
      <c r="D6" s="12">
        <v>4</v>
      </c>
      <c r="E6" s="12">
        <v>5</v>
      </c>
      <c r="F6" s="12">
        <v>3</v>
      </c>
      <c r="G6" s="12">
        <v>3</v>
      </c>
      <c r="H6" s="12">
        <f>(D6*$D$3)+(E6*$E$3)+(F6*$F$3)+(G6*$G$3)</f>
        <v>3.8</v>
      </c>
      <c r="I6" s="12">
        <v>1</v>
      </c>
      <c r="J6" s="15">
        <f>+I6*H6</f>
        <v>3.8</v>
      </c>
      <c r="K6" s="15" t="str">
        <f>IF(J6&lt;=1,"Bajo",IF(AND(J6&gt;1,J6&lt;=2.1),"Moderado","Alto"))</f>
        <v>Alto</v>
      </c>
      <c r="L6" s="15" t="s">
        <v>31</v>
      </c>
      <c r="M6" s="34" t="s">
        <v>85</v>
      </c>
      <c r="N6" s="32" t="s">
        <v>90</v>
      </c>
      <c r="O6" s="29" t="s">
        <v>58</v>
      </c>
      <c r="P6" s="29" t="s">
        <v>49</v>
      </c>
      <c r="Q6" s="69" t="s">
        <v>95</v>
      </c>
      <c r="R6" s="29" t="s">
        <v>98</v>
      </c>
    </row>
    <row r="7" spans="2:19" ht="78" customHeight="1" thickBot="1" x14ac:dyDescent="0.4">
      <c r="B7" s="19" t="s">
        <v>4</v>
      </c>
      <c r="C7" s="6" t="s">
        <v>81</v>
      </c>
      <c r="D7" s="12">
        <v>5</v>
      </c>
      <c r="E7" s="12">
        <v>3</v>
      </c>
      <c r="F7" s="12">
        <v>4</v>
      </c>
      <c r="G7" s="12">
        <v>4</v>
      </c>
      <c r="H7" s="12">
        <f t="shared" ref="H7:H10" si="0">(D7*$D$3)+(E7*$E$3)+(F7*$F$3)+(G7*$G$3)</f>
        <v>3.9</v>
      </c>
      <c r="I7" s="12">
        <v>1</v>
      </c>
      <c r="J7" s="15">
        <f>+I7*H7</f>
        <v>3.9</v>
      </c>
      <c r="K7" s="15" t="str">
        <f t="shared" ref="K7:K10" si="1">IF(J7&lt;=1,"Bajo",IF(AND(J7&gt;1,J7&lt;=2.1),"Moderado","Alto"))</f>
        <v>Alto</v>
      </c>
      <c r="L7" s="15" t="s">
        <v>31</v>
      </c>
      <c r="M7" s="29" t="s">
        <v>86</v>
      </c>
      <c r="N7" s="29" t="s">
        <v>91</v>
      </c>
      <c r="O7" s="29" t="s">
        <v>48</v>
      </c>
      <c r="P7" s="29" t="s">
        <v>49</v>
      </c>
      <c r="Q7" s="29" t="s">
        <v>96</v>
      </c>
      <c r="R7" s="69" t="s">
        <v>99</v>
      </c>
    </row>
    <row r="8" spans="2:19" ht="87" customHeight="1" thickBot="1" x14ac:dyDescent="0.4">
      <c r="B8" s="19" t="s">
        <v>5</v>
      </c>
      <c r="C8" s="6" t="s">
        <v>82</v>
      </c>
      <c r="D8" s="12">
        <v>4</v>
      </c>
      <c r="E8" s="12">
        <v>2</v>
      </c>
      <c r="F8" s="12">
        <v>5</v>
      </c>
      <c r="G8" s="12">
        <v>4</v>
      </c>
      <c r="H8" s="12">
        <f t="shared" si="0"/>
        <v>3.8</v>
      </c>
      <c r="I8" s="12">
        <v>0.5</v>
      </c>
      <c r="J8" s="20">
        <f t="shared" ref="J8:J10" si="2">+I8*H8</f>
        <v>1.9</v>
      </c>
      <c r="K8" s="15" t="str">
        <f t="shared" si="1"/>
        <v>Moderado</v>
      </c>
      <c r="L8" s="15" t="s">
        <v>30</v>
      </c>
      <c r="M8" s="29" t="s">
        <v>87</v>
      </c>
      <c r="N8" s="29" t="s">
        <v>92</v>
      </c>
      <c r="O8" s="29" t="s">
        <v>48</v>
      </c>
      <c r="P8" s="29" t="s">
        <v>49</v>
      </c>
      <c r="Q8" s="29" t="s">
        <v>96</v>
      </c>
      <c r="R8" s="29" t="s">
        <v>100</v>
      </c>
    </row>
    <row r="9" spans="2:19" ht="80.25" customHeight="1" thickBot="1" x14ac:dyDescent="0.4">
      <c r="B9" s="19" t="s">
        <v>11</v>
      </c>
      <c r="C9" s="6" t="s">
        <v>83</v>
      </c>
      <c r="D9" s="15">
        <v>5</v>
      </c>
      <c r="E9" s="15">
        <v>3</v>
      </c>
      <c r="F9" s="15">
        <v>4</v>
      </c>
      <c r="G9" s="15">
        <v>4</v>
      </c>
      <c r="H9" s="12">
        <f t="shared" si="0"/>
        <v>3.9</v>
      </c>
      <c r="I9" s="15">
        <v>1</v>
      </c>
      <c r="J9" s="15">
        <f t="shared" si="2"/>
        <v>3.9</v>
      </c>
      <c r="K9" s="15" t="str">
        <f t="shared" si="1"/>
        <v>Alto</v>
      </c>
      <c r="L9" s="15" t="s">
        <v>33</v>
      </c>
      <c r="M9" s="29" t="s">
        <v>88</v>
      </c>
      <c r="N9" s="29" t="s">
        <v>93</v>
      </c>
      <c r="O9" s="29" t="s">
        <v>58</v>
      </c>
      <c r="P9" s="29" t="s">
        <v>49</v>
      </c>
      <c r="Q9" s="29" t="s">
        <v>97</v>
      </c>
      <c r="R9" s="29" t="s">
        <v>101</v>
      </c>
    </row>
    <row r="10" spans="2:19" ht="112" customHeight="1" thickBot="1" x14ac:dyDescent="0.4">
      <c r="B10" s="19" t="s">
        <v>12</v>
      </c>
      <c r="C10" s="6" t="s">
        <v>84</v>
      </c>
      <c r="D10" s="15">
        <v>5</v>
      </c>
      <c r="E10" s="15">
        <v>4</v>
      </c>
      <c r="F10" s="15">
        <v>5</v>
      </c>
      <c r="G10" s="15">
        <v>5</v>
      </c>
      <c r="H10" s="12">
        <f t="shared" si="0"/>
        <v>4.7</v>
      </c>
      <c r="I10" s="15">
        <v>1</v>
      </c>
      <c r="J10" s="15">
        <f t="shared" si="2"/>
        <v>4.7</v>
      </c>
      <c r="K10" s="15" t="str">
        <f t="shared" si="1"/>
        <v>Alto</v>
      </c>
      <c r="L10" s="15" t="s">
        <v>31</v>
      </c>
      <c r="M10" s="29" t="s">
        <v>89</v>
      </c>
      <c r="N10" s="29" t="s">
        <v>94</v>
      </c>
      <c r="O10" s="29" t="s">
        <v>58</v>
      </c>
      <c r="P10" s="29" t="s">
        <v>49</v>
      </c>
      <c r="Q10" s="29" t="s">
        <v>95</v>
      </c>
      <c r="R10" s="29" t="s">
        <v>102</v>
      </c>
      <c r="S10" s="36"/>
    </row>
    <row r="11" spans="2:19" x14ac:dyDescent="0.35">
      <c r="M11" s="33"/>
    </row>
  </sheetData>
  <mergeCells count="13">
    <mergeCell ref="P4:P5"/>
    <mergeCell ref="Q4:Q5"/>
    <mergeCell ref="R4:R5"/>
    <mergeCell ref="K4:K5"/>
    <mergeCell ref="L4:L5"/>
    <mergeCell ref="M4:M5"/>
    <mergeCell ref="N4:N5"/>
    <mergeCell ref="O4:O5"/>
    <mergeCell ref="B4:C5"/>
    <mergeCell ref="D4:G4"/>
    <mergeCell ref="H4:H5"/>
    <mergeCell ref="I4:I5"/>
    <mergeCell ref="J4:J5"/>
  </mergeCells>
  <conditionalFormatting sqref="K6:K10">
    <cfRule type="cellIs" dxfId="5" priority="4" operator="equal">
      <formula>"Bajo"</formula>
    </cfRule>
    <cfRule type="cellIs" dxfId="4" priority="5" operator="equal">
      <formula>"Moderado"</formula>
    </cfRule>
    <cfRule type="cellIs" dxfId="3" priority="6" operator="equal">
      <formula>"alto"</formula>
    </cfRule>
  </conditionalFormatting>
  <dataValidations count="1">
    <dataValidation type="list" allowBlank="1" showInputMessage="1" showErrorMessage="1" sqref="L6:L10" xr:uid="{00000000-0002-0000-0200-000000000000}">
      <formula1>AmenazasDebilidades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4"/>
  <sheetViews>
    <sheetView tabSelected="1" topLeftCell="H1" zoomScale="70" zoomScaleNormal="70" workbookViewId="0">
      <selection activeCell="R14" sqref="R14"/>
    </sheetView>
  </sheetViews>
  <sheetFormatPr baseColWidth="10" defaultRowHeight="14.5" x14ac:dyDescent="0.35"/>
  <cols>
    <col min="1" max="1" width="7" customWidth="1"/>
    <col min="2" max="2" width="6.453125" customWidth="1"/>
    <col min="3" max="3" width="40" customWidth="1"/>
    <col min="9" max="9" width="16.1796875" customWidth="1"/>
    <col min="10" max="10" width="14.453125" customWidth="1"/>
    <col min="11" max="11" width="16.81640625" bestFit="1" customWidth="1"/>
    <col min="12" max="12" width="13.1796875" bestFit="1" customWidth="1"/>
    <col min="13" max="13" width="26.1796875" customWidth="1"/>
    <col min="14" max="14" width="30.1796875" customWidth="1"/>
    <col min="17" max="17" width="38.7265625" customWidth="1"/>
    <col min="18" max="18" width="49.36328125" customWidth="1"/>
  </cols>
  <sheetData>
    <row r="2" spans="2:18" ht="15" thickBot="1" x14ac:dyDescent="0.4"/>
    <row r="3" spans="2:18" ht="15" thickBot="1" x14ac:dyDescent="0.4">
      <c r="C3" s="16" t="s">
        <v>10</v>
      </c>
      <c r="D3" s="37">
        <v>0.3</v>
      </c>
      <c r="E3" s="37">
        <v>0.2</v>
      </c>
      <c r="F3" s="37">
        <v>0.4</v>
      </c>
      <c r="G3" s="37">
        <v>0.1</v>
      </c>
      <c r="H3" s="8"/>
      <c r="J3" s="17" t="s">
        <v>15</v>
      </c>
    </row>
    <row r="4" spans="2:18" ht="24" customHeight="1" thickBot="1" x14ac:dyDescent="0.4">
      <c r="B4" s="41" t="s">
        <v>0</v>
      </c>
      <c r="C4" s="42"/>
      <c r="D4" s="45" t="s">
        <v>1</v>
      </c>
      <c r="E4" s="46"/>
      <c r="F4" s="46"/>
      <c r="G4" s="46"/>
      <c r="H4" s="47" t="s">
        <v>2</v>
      </c>
      <c r="I4" s="47" t="s">
        <v>13</v>
      </c>
      <c r="J4" s="47" t="s">
        <v>14</v>
      </c>
      <c r="K4" s="39" t="s">
        <v>39</v>
      </c>
      <c r="L4" s="39" t="s">
        <v>29</v>
      </c>
      <c r="M4" s="39" t="s">
        <v>40</v>
      </c>
      <c r="N4" s="39" t="s">
        <v>45</v>
      </c>
      <c r="O4" s="50" t="s">
        <v>43</v>
      </c>
      <c r="P4" s="50" t="s">
        <v>44</v>
      </c>
      <c r="Q4" s="39" t="s">
        <v>41</v>
      </c>
      <c r="R4" s="39" t="s">
        <v>42</v>
      </c>
    </row>
    <row r="5" spans="2:18" ht="26.25" customHeight="1" thickBot="1" x14ac:dyDescent="0.4">
      <c r="B5" s="62"/>
      <c r="C5" s="63"/>
      <c r="D5" s="10" t="s">
        <v>6</v>
      </c>
      <c r="E5" s="10" t="s">
        <v>7</v>
      </c>
      <c r="F5" s="10" t="s">
        <v>8</v>
      </c>
      <c r="G5" s="11" t="s">
        <v>9</v>
      </c>
      <c r="H5" s="52"/>
      <c r="I5" s="49"/>
      <c r="J5" s="53"/>
      <c r="K5" s="55"/>
      <c r="L5" s="55"/>
      <c r="M5" s="55"/>
      <c r="N5" s="40"/>
      <c r="O5" s="54"/>
      <c r="P5" s="54"/>
      <c r="Q5" s="55"/>
      <c r="R5" s="55"/>
    </row>
    <row r="6" spans="2:18" ht="62.5" customHeight="1" thickBot="1" x14ac:dyDescent="0.4">
      <c r="B6" s="19" t="s">
        <v>3</v>
      </c>
      <c r="C6" s="26" t="s">
        <v>103</v>
      </c>
      <c r="D6" s="12">
        <v>4</v>
      </c>
      <c r="E6" s="12">
        <v>2</v>
      </c>
      <c r="F6" s="12">
        <v>2</v>
      </c>
      <c r="G6" s="12">
        <v>2</v>
      </c>
      <c r="H6" s="12">
        <f>(D6*$D$3)+(E6*$E$3)+(F6*$F$3)+(G6*$G$3)</f>
        <v>2.6000000000000005</v>
      </c>
      <c r="I6" s="15">
        <v>1</v>
      </c>
      <c r="J6" s="15">
        <f>I6*H6</f>
        <v>2.6000000000000005</v>
      </c>
      <c r="K6" s="15" t="str">
        <f>IF(J6&lt;=1,"Bajo",IF(AND(J6&gt;1,J6&lt;=2.1),"Moderado","Alto"))</f>
        <v>Alto</v>
      </c>
      <c r="L6" s="15" t="s">
        <v>33</v>
      </c>
      <c r="M6" s="69" t="s">
        <v>107</v>
      </c>
      <c r="N6" s="15" t="s">
        <v>111</v>
      </c>
      <c r="O6" s="15" t="s">
        <v>48</v>
      </c>
      <c r="P6" s="15" t="s">
        <v>49</v>
      </c>
      <c r="Q6" s="15" t="s">
        <v>115</v>
      </c>
      <c r="R6" s="15" t="s">
        <v>119</v>
      </c>
    </row>
    <row r="7" spans="2:18" ht="61" customHeight="1" thickBot="1" x14ac:dyDescent="0.4">
      <c r="B7" s="19" t="s">
        <v>4</v>
      </c>
      <c r="C7" s="26" t="s">
        <v>104</v>
      </c>
      <c r="D7" s="12">
        <v>5</v>
      </c>
      <c r="E7" s="12">
        <v>1</v>
      </c>
      <c r="F7" s="12">
        <v>3</v>
      </c>
      <c r="G7" s="12">
        <v>4</v>
      </c>
      <c r="H7" s="12">
        <f t="shared" ref="H7:H9" si="0">(D7*$D$3)+(E7*$E$3)+(F7*$F$3)+(G7*$G$3)</f>
        <v>3.3000000000000003</v>
      </c>
      <c r="I7" s="15">
        <v>0.5</v>
      </c>
      <c r="J7" s="15">
        <f t="shared" ref="J7:J9" si="1">I7*H7</f>
        <v>1.6500000000000001</v>
      </c>
      <c r="K7" s="15" t="str">
        <f t="shared" ref="K7:K9" si="2">IF(J7&lt;=1,"Bajo",IF(AND(J7&gt;1,J7&lt;=2.1),"Moderado","Alto"))</f>
        <v>Moderado</v>
      </c>
      <c r="L7" s="15" t="s">
        <v>31</v>
      </c>
      <c r="M7" s="69" t="s">
        <v>108</v>
      </c>
      <c r="N7" s="15" t="s">
        <v>112</v>
      </c>
      <c r="O7" s="15" t="s">
        <v>58</v>
      </c>
      <c r="P7" s="15" t="s">
        <v>49</v>
      </c>
      <c r="Q7" s="15" t="s">
        <v>116</v>
      </c>
      <c r="R7" s="15" t="s">
        <v>120</v>
      </c>
    </row>
    <row r="8" spans="2:18" ht="45.5" customHeight="1" thickBot="1" x14ac:dyDescent="0.4">
      <c r="B8" s="19" t="s">
        <v>5</v>
      </c>
      <c r="C8" s="26" t="s">
        <v>105</v>
      </c>
      <c r="D8" s="12">
        <v>3</v>
      </c>
      <c r="E8" s="12">
        <v>2</v>
      </c>
      <c r="F8" s="12">
        <v>4</v>
      </c>
      <c r="G8" s="12">
        <v>4</v>
      </c>
      <c r="H8" s="12">
        <f t="shared" si="0"/>
        <v>3.3</v>
      </c>
      <c r="I8" s="15">
        <v>0.7</v>
      </c>
      <c r="J8" s="15">
        <f t="shared" si="1"/>
        <v>2.3099999999999996</v>
      </c>
      <c r="K8" s="15" t="str">
        <f t="shared" si="2"/>
        <v>Alto</v>
      </c>
      <c r="L8" s="15" t="s">
        <v>30</v>
      </c>
      <c r="M8" s="15" t="s">
        <v>109</v>
      </c>
      <c r="N8" s="15" t="s">
        <v>113</v>
      </c>
      <c r="O8" s="15" t="s">
        <v>73</v>
      </c>
      <c r="P8" s="15" t="s">
        <v>49</v>
      </c>
      <c r="Q8" s="15" t="s">
        <v>117</v>
      </c>
      <c r="R8" s="15" t="s">
        <v>121</v>
      </c>
    </row>
    <row r="9" spans="2:18" ht="45.5" customHeight="1" thickBot="1" x14ac:dyDescent="0.4">
      <c r="B9" s="19" t="s">
        <v>11</v>
      </c>
      <c r="C9" s="26" t="s">
        <v>106</v>
      </c>
      <c r="D9" s="15">
        <v>4.5</v>
      </c>
      <c r="E9" s="15">
        <v>4</v>
      </c>
      <c r="F9" s="15">
        <v>4.5</v>
      </c>
      <c r="G9" s="15">
        <v>4.5</v>
      </c>
      <c r="H9" s="12">
        <f t="shared" si="0"/>
        <v>4.4000000000000004</v>
      </c>
      <c r="I9" s="15">
        <v>1</v>
      </c>
      <c r="J9" s="15">
        <f t="shared" si="1"/>
        <v>4.4000000000000004</v>
      </c>
      <c r="K9" s="15" t="str">
        <f t="shared" si="2"/>
        <v>Alto</v>
      </c>
      <c r="L9" s="15" t="s">
        <v>31</v>
      </c>
      <c r="M9" s="15" t="s">
        <v>110</v>
      </c>
      <c r="N9" s="15" t="s">
        <v>114</v>
      </c>
      <c r="O9" s="15" t="s">
        <v>58</v>
      </c>
      <c r="P9" s="15" t="s">
        <v>49</v>
      </c>
      <c r="Q9" s="15" t="s">
        <v>118</v>
      </c>
      <c r="R9" s="15" t="s">
        <v>122</v>
      </c>
    </row>
    <row r="12" spans="2:18" x14ac:dyDescent="0.35">
      <c r="C12" s="35"/>
    </row>
    <row r="13" spans="2:18" x14ac:dyDescent="0.35">
      <c r="C13" s="35"/>
    </row>
    <row r="14" spans="2:18" x14ac:dyDescent="0.35">
      <c r="C14" s="35"/>
    </row>
  </sheetData>
  <mergeCells count="13">
    <mergeCell ref="P4:P5"/>
    <mergeCell ref="Q4:Q5"/>
    <mergeCell ref="R4:R5"/>
    <mergeCell ref="K4:K5"/>
    <mergeCell ref="L4:L5"/>
    <mergeCell ref="M4:M5"/>
    <mergeCell ref="N4:N5"/>
    <mergeCell ref="O4:O5"/>
    <mergeCell ref="B4:C5"/>
    <mergeCell ref="D4:G4"/>
    <mergeCell ref="H4:H5"/>
    <mergeCell ref="I4:I5"/>
    <mergeCell ref="J4:J5"/>
  </mergeCells>
  <conditionalFormatting sqref="K6:K9">
    <cfRule type="cellIs" dxfId="2" priority="4" operator="equal">
      <formula>"Bajo"</formula>
    </cfRule>
    <cfRule type="cellIs" dxfId="1" priority="5" operator="equal">
      <formula>"Moderado"</formula>
    </cfRule>
    <cfRule type="cellIs" dxfId="0" priority="6" operator="equal">
      <formula>"alto"</formula>
    </cfRule>
  </conditionalFormatting>
  <dataValidations count="1">
    <dataValidation type="list" allowBlank="1" showInputMessage="1" showErrorMessage="1" sqref="L6:L9" xr:uid="{00000000-0002-0000-0300-000000000000}">
      <formula1>AmenazasDebilidades</formula1>
    </dataValidation>
  </dataValidation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H18"/>
  <sheetViews>
    <sheetView workbookViewId="0">
      <selection activeCell="B7" sqref="B7"/>
    </sheetView>
  </sheetViews>
  <sheetFormatPr baseColWidth="10" defaultRowHeight="14.5" x14ac:dyDescent="0.35"/>
  <cols>
    <col min="1" max="1" width="4.81640625" customWidth="1"/>
    <col min="2" max="2" width="4.6328125" customWidth="1"/>
    <col min="3" max="3" width="11.453125" style="2"/>
  </cols>
  <sheetData>
    <row r="3" spans="1:8" x14ac:dyDescent="0.35">
      <c r="C3" s="65" t="s">
        <v>16</v>
      </c>
      <c r="D3" s="65"/>
      <c r="E3" s="65"/>
      <c r="F3" s="65"/>
      <c r="G3" s="65"/>
      <c r="H3" s="65"/>
    </row>
    <row r="4" spans="1:8" ht="15" thickBot="1" x14ac:dyDescent="0.4"/>
    <row r="5" spans="1:8" ht="15" thickBot="1" x14ac:dyDescent="0.4">
      <c r="A5" s="66" t="s">
        <v>17</v>
      </c>
      <c r="B5">
        <v>0.9</v>
      </c>
      <c r="C5" s="2" t="s">
        <v>18</v>
      </c>
      <c r="D5" s="21">
        <f>$B$5*D11</f>
        <v>0.9</v>
      </c>
      <c r="E5" s="22">
        <f>$B$5*E11</f>
        <v>1.8</v>
      </c>
      <c r="F5" s="23">
        <f t="shared" ref="F5:H5" si="0">$B$5*F11</f>
        <v>2.7</v>
      </c>
      <c r="G5" s="23">
        <f t="shared" si="0"/>
        <v>3.6</v>
      </c>
      <c r="H5" s="23">
        <f t="shared" si="0"/>
        <v>4.5</v>
      </c>
    </row>
    <row r="6" spans="1:8" ht="15" thickBot="1" x14ac:dyDescent="0.4">
      <c r="A6" s="67"/>
      <c r="B6">
        <v>0.7</v>
      </c>
      <c r="C6" s="2" t="s">
        <v>19</v>
      </c>
      <c r="D6" s="21">
        <f>$B$6*D11</f>
        <v>0.7</v>
      </c>
      <c r="E6" s="22">
        <f t="shared" ref="E6:H6" si="1">$B$6*E11</f>
        <v>1.4</v>
      </c>
      <c r="F6" s="22">
        <f>$B$6*F11</f>
        <v>2.0999999999999996</v>
      </c>
      <c r="G6" s="23">
        <f t="shared" si="1"/>
        <v>2.8</v>
      </c>
      <c r="H6" s="23">
        <f t="shared" si="1"/>
        <v>3.5</v>
      </c>
    </row>
    <row r="7" spans="1:8" ht="15" thickBot="1" x14ac:dyDescent="0.4">
      <c r="A7" s="67"/>
      <c r="B7">
        <v>0.5</v>
      </c>
      <c r="C7" s="2" t="s">
        <v>20</v>
      </c>
      <c r="D7" s="21">
        <f>$B$7*D11</f>
        <v>0.5</v>
      </c>
      <c r="E7" s="21">
        <f t="shared" ref="E7:H7" si="2">$B$7*E11</f>
        <v>1</v>
      </c>
      <c r="F7" s="22">
        <f t="shared" si="2"/>
        <v>1.5</v>
      </c>
      <c r="G7" s="22">
        <f t="shared" si="2"/>
        <v>2</v>
      </c>
      <c r="H7" s="23">
        <f t="shared" si="2"/>
        <v>2.5</v>
      </c>
    </row>
    <row r="8" spans="1:8" ht="15" thickBot="1" x14ac:dyDescent="0.4">
      <c r="A8" s="67"/>
      <c r="B8">
        <v>0.3</v>
      </c>
      <c r="C8" s="2" t="s">
        <v>21</v>
      </c>
      <c r="D8" s="21">
        <f>$B$8*D11</f>
        <v>0.3</v>
      </c>
      <c r="E8" s="21">
        <f t="shared" ref="E8:H8" si="3">$B$8*E11</f>
        <v>0.6</v>
      </c>
      <c r="F8" s="21">
        <f t="shared" si="3"/>
        <v>0.89999999999999991</v>
      </c>
      <c r="G8" s="22">
        <f t="shared" si="3"/>
        <v>1.2</v>
      </c>
      <c r="H8" s="22">
        <f t="shared" si="3"/>
        <v>1.5</v>
      </c>
    </row>
    <row r="9" spans="1:8" ht="15" thickBot="1" x14ac:dyDescent="0.4">
      <c r="A9" s="67"/>
      <c r="B9">
        <v>0.1</v>
      </c>
      <c r="C9" s="2" t="s">
        <v>22</v>
      </c>
      <c r="D9" s="21">
        <f>$B$9*D11</f>
        <v>0.1</v>
      </c>
      <c r="E9" s="21">
        <f t="shared" ref="E9:H9" si="4">$B$9*E11</f>
        <v>0.2</v>
      </c>
      <c r="F9" s="21">
        <f t="shared" si="4"/>
        <v>0.30000000000000004</v>
      </c>
      <c r="G9" s="21">
        <f t="shared" si="4"/>
        <v>0.4</v>
      </c>
      <c r="H9" s="21">
        <f t="shared" si="4"/>
        <v>0.5</v>
      </c>
    </row>
    <row r="10" spans="1:8" x14ac:dyDescent="0.35">
      <c r="A10" s="67"/>
      <c r="D10" s="2" t="s">
        <v>23</v>
      </c>
      <c r="E10" s="2" t="s">
        <v>21</v>
      </c>
      <c r="F10" s="2" t="s">
        <v>20</v>
      </c>
      <c r="G10" s="2" t="s">
        <v>19</v>
      </c>
      <c r="H10" s="2" t="s">
        <v>18</v>
      </c>
    </row>
    <row r="11" spans="1:8" x14ac:dyDescent="0.35">
      <c r="D11" s="2">
        <v>1</v>
      </c>
      <c r="E11" s="2">
        <v>2</v>
      </c>
      <c r="F11" s="2">
        <v>3</v>
      </c>
      <c r="G11" s="2">
        <v>4</v>
      </c>
      <c r="H11" s="2">
        <v>5</v>
      </c>
    </row>
    <row r="12" spans="1:8" x14ac:dyDescent="0.35">
      <c r="A12" s="9"/>
      <c r="B12" s="9"/>
      <c r="C12" s="8"/>
      <c r="D12" s="65" t="s">
        <v>24</v>
      </c>
      <c r="E12" s="65"/>
      <c r="F12" s="65"/>
      <c r="G12" s="65"/>
      <c r="H12" s="65"/>
    </row>
    <row r="13" spans="1:8" ht="15" thickBot="1" x14ac:dyDescent="0.4"/>
    <row r="14" spans="1:8" ht="15" thickBot="1" x14ac:dyDescent="0.4">
      <c r="B14" s="21"/>
      <c r="C14" s="14" t="s">
        <v>21</v>
      </c>
      <c r="D14" s="64" t="s">
        <v>25</v>
      </c>
      <c r="E14" s="64"/>
      <c r="F14" s="64"/>
    </row>
    <row r="15" spans="1:8" ht="15" thickBot="1" x14ac:dyDescent="0.4">
      <c r="B15" s="24"/>
      <c r="C15" s="14" t="s">
        <v>26</v>
      </c>
      <c r="D15" s="64" t="s">
        <v>27</v>
      </c>
      <c r="E15" s="64"/>
      <c r="F15" s="64"/>
    </row>
    <row r="16" spans="1:8" ht="15" thickBot="1" x14ac:dyDescent="0.4">
      <c r="B16" s="25"/>
      <c r="C16" s="14" t="s">
        <v>19</v>
      </c>
      <c r="D16" s="64" t="s">
        <v>28</v>
      </c>
      <c r="E16" s="64"/>
      <c r="F16" s="64"/>
    </row>
    <row r="17" customFormat="1" x14ac:dyDescent="0.35"/>
    <row r="18" customFormat="1" x14ac:dyDescent="0.35"/>
  </sheetData>
  <mergeCells count="6">
    <mergeCell ref="D16:F16"/>
    <mergeCell ref="C3:H3"/>
    <mergeCell ref="A5:A10"/>
    <mergeCell ref="D12:H12"/>
    <mergeCell ref="D14:F14"/>
    <mergeCell ref="D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Fortalezas</vt:lpstr>
      <vt:lpstr>Oportunidades</vt:lpstr>
      <vt:lpstr>Debilidades</vt:lpstr>
      <vt:lpstr>Amenazas</vt:lpstr>
      <vt:lpstr>Probabilidad Vs. Impacto</vt:lpstr>
      <vt:lpstr>AmenazasDebilidades</vt:lpstr>
      <vt:lpstr>OportunidadesFortalezas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94371475</dc:creator>
  <cp:lastModifiedBy>Nicolas Loboa Alvarez</cp:lastModifiedBy>
  <dcterms:created xsi:type="dcterms:W3CDTF">2012-03-31T15:48:47Z</dcterms:created>
  <dcterms:modified xsi:type="dcterms:W3CDTF">2026-04-27T02:28:09Z</dcterms:modified>
</cp:coreProperties>
</file>