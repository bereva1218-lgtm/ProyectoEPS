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na\Downloads\"/>
    </mc:Choice>
  </mc:AlternateContent>
  <xr:revisionPtr revIDLastSave="0" documentId="8_{9ADB9DC9-5D87-4509-9F78-8AF1507794BC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Estimar CostosxHora" sheetId="1" r:id="rId1"/>
    <sheet name="Estimar por puntos de historia" sheetId="2" r:id="rId2"/>
    <sheet name="Presupuesto" sheetId="3" r:id="rId3"/>
    <sheet name="costo por recurso o punto de H" sheetId="4" r:id="rId4"/>
  </sheets>
  <definedNames>
    <definedName name="suma">'Estimar CostosxHora'!$Q$6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0" i="2" l="1"/>
  <c r="G29" i="2"/>
  <c r="G28" i="2"/>
  <c r="G27" i="2"/>
  <c r="G26" i="2"/>
  <c r="G24" i="2"/>
  <c r="G22" i="2"/>
  <c r="G15" i="2"/>
  <c r="G12" i="2"/>
  <c r="G9" i="2"/>
  <c r="G5" i="2"/>
  <c r="F32" i="2"/>
  <c r="E32" i="2"/>
  <c r="D32" i="2"/>
  <c r="F21" i="2"/>
  <c r="F20" i="2"/>
  <c r="F19" i="2"/>
  <c r="F18" i="2"/>
  <c r="F17" i="2"/>
  <c r="F16" i="2"/>
  <c r="F15" i="2"/>
  <c r="F13" i="2"/>
  <c r="F14" i="2"/>
  <c r="F12" i="2"/>
  <c r="F11" i="2"/>
  <c r="F10" i="2"/>
  <c r="F9" i="2"/>
  <c r="F8" i="2"/>
  <c r="F7" i="2"/>
  <c r="F6" i="2"/>
  <c r="F5" i="2"/>
  <c r="F4" i="2"/>
  <c r="F3" i="2"/>
  <c r="F22" i="2"/>
  <c r="F23" i="2"/>
  <c r="F24" i="2"/>
  <c r="F25" i="2"/>
  <c r="F26" i="2"/>
  <c r="F27" i="2"/>
  <c r="F28" i="2"/>
  <c r="F29" i="2"/>
  <c r="F30" i="2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49" i="3" s="1"/>
  <c r="B65" i="3" s="1"/>
  <c r="B28" i="3"/>
  <c r="E12" i="3"/>
  <c r="F12" i="3" s="1"/>
  <c r="E11" i="3"/>
  <c r="F11" i="3" s="1"/>
  <c r="E10" i="3"/>
  <c r="F10" i="3" s="1"/>
  <c r="P27" i="1"/>
  <c r="M27" i="1"/>
  <c r="L27" i="1"/>
  <c r="N27" i="1" s="1"/>
  <c r="R27" i="1" s="1"/>
  <c r="P26" i="1"/>
  <c r="N26" i="1"/>
  <c r="R26" i="1" s="1"/>
  <c r="M26" i="1"/>
  <c r="L26" i="1"/>
  <c r="P25" i="1"/>
  <c r="M25" i="1"/>
  <c r="L25" i="1"/>
  <c r="N25" i="1" s="1"/>
  <c r="R25" i="1" s="1"/>
  <c r="P24" i="1"/>
  <c r="M24" i="1"/>
  <c r="L24" i="1"/>
  <c r="N24" i="1" s="1"/>
  <c r="R24" i="1" s="1"/>
  <c r="S25" i="1" s="1"/>
  <c r="P23" i="1"/>
  <c r="M23" i="1"/>
  <c r="L23" i="1"/>
  <c r="N23" i="1" s="1"/>
  <c r="R23" i="1" s="1"/>
  <c r="P22" i="1"/>
  <c r="M22" i="1"/>
  <c r="L22" i="1"/>
  <c r="N22" i="1" s="1"/>
  <c r="R22" i="1" s="1"/>
  <c r="P21" i="1"/>
  <c r="M21" i="1"/>
  <c r="L21" i="1"/>
  <c r="N21" i="1" s="1"/>
  <c r="R21" i="1" s="1"/>
  <c r="P20" i="1"/>
  <c r="N20" i="1"/>
  <c r="R20" i="1" s="1"/>
  <c r="M20" i="1"/>
  <c r="L20" i="1"/>
  <c r="P19" i="1"/>
  <c r="M19" i="1"/>
  <c r="L19" i="1"/>
  <c r="N19" i="1" s="1"/>
  <c r="R19" i="1" s="1"/>
  <c r="P18" i="1"/>
  <c r="M18" i="1"/>
  <c r="L18" i="1"/>
  <c r="N18" i="1" s="1"/>
  <c r="R18" i="1" s="1"/>
  <c r="P17" i="1"/>
  <c r="N17" i="1"/>
  <c r="R17" i="1" s="1"/>
  <c r="M17" i="1"/>
  <c r="L17" i="1"/>
  <c r="P16" i="1"/>
  <c r="M16" i="1"/>
  <c r="L16" i="1"/>
  <c r="N16" i="1" s="1"/>
  <c r="R16" i="1" s="1"/>
  <c r="P15" i="1"/>
  <c r="M15" i="1"/>
  <c r="L15" i="1"/>
  <c r="N15" i="1" s="1"/>
  <c r="R15" i="1" s="1"/>
  <c r="P14" i="1"/>
  <c r="N14" i="1"/>
  <c r="R14" i="1" s="1"/>
  <c r="M14" i="1"/>
  <c r="L14" i="1"/>
  <c r="P13" i="1"/>
  <c r="M13" i="1"/>
  <c r="L13" i="1"/>
  <c r="N13" i="1" s="1"/>
  <c r="R13" i="1" s="1"/>
  <c r="P12" i="1"/>
  <c r="M12" i="1"/>
  <c r="L12" i="1"/>
  <c r="N12" i="1" s="1"/>
  <c r="R12" i="1" s="1"/>
  <c r="P11" i="1"/>
  <c r="N11" i="1"/>
  <c r="R11" i="1" s="1"/>
  <c r="M11" i="1"/>
  <c r="L11" i="1"/>
  <c r="P10" i="1"/>
  <c r="M10" i="1"/>
  <c r="L10" i="1"/>
  <c r="N10" i="1" s="1"/>
  <c r="R10" i="1" s="1"/>
  <c r="P9" i="1"/>
  <c r="M9" i="1"/>
  <c r="L9" i="1"/>
  <c r="N9" i="1" s="1"/>
  <c r="R9" i="1" s="1"/>
  <c r="P8" i="1"/>
  <c r="N8" i="1"/>
  <c r="R8" i="1" s="1"/>
  <c r="M8" i="1"/>
  <c r="L8" i="1"/>
  <c r="P7" i="1"/>
  <c r="M7" i="1"/>
  <c r="L7" i="1"/>
  <c r="N7" i="1" s="1"/>
  <c r="R7" i="1" s="1"/>
  <c r="P6" i="1"/>
  <c r="M6" i="1"/>
  <c r="L6" i="1"/>
  <c r="N6" i="1" s="1"/>
  <c r="R6" i="1" s="1"/>
  <c r="S9" i="1" s="1"/>
  <c r="P5" i="1"/>
  <c r="N5" i="1"/>
  <c r="R5" i="1" s="1"/>
  <c r="M5" i="1"/>
  <c r="L5" i="1"/>
  <c r="P4" i="1"/>
  <c r="M4" i="1"/>
  <c r="L4" i="1"/>
  <c r="N4" i="1" s="1"/>
  <c r="R4" i="1" s="1"/>
  <c r="M3" i="1"/>
  <c r="L3" i="1"/>
  <c r="N3" i="1" s="1"/>
  <c r="B24" i="4"/>
  <c r="C22" i="4"/>
  <c r="C21" i="4"/>
  <c r="C20" i="4"/>
  <c r="C19" i="4"/>
  <c r="C24" i="4" s="1"/>
  <c r="B17" i="4"/>
  <c r="C15" i="4"/>
  <c r="C14" i="4"/>
  <c r="C13" i="4"/>
  <c r="C12" i="4"/>
  <c r="C17" i="4" s="1"/>
  <c r="C10" i="4"/>
  <c r="C26" i="4" s="1"/>
  <c r="G32" i="2" l="1"/>
  <c r="C27" i="4"/>
  <c r="C28" i="4"/>
  <c r="S23" i="1"/>
  <c r="H12" i="3"/>
  <c r="G12" i="3"/>
  <c r="S12" i="1"/>
  <c r="S19" i="1"/>
  <c r="H10" i="3"/>
  <c r="H28" i="3" s="1"/>
  <c r="G10" i="3"/>
  <c r="P3" i="1"/>
  <c r="R3" i="1"/>
  <c r="S5" i="1" s="1"/>
  <c r="S15" i="1"/>
  <c r="S28" i="1"/>
  <c r="H11" i="3"/>
  <c r="G11" i="3"/>
  <c r="B35" i="4" l="1"/>
  <c r="B36" i="4" s="1"/>
  <c r="B37" i="4" s="1"/>
  <c r="H29" i="3"/>
  <c r="B64" i="3" s="1"/>
  <c r="B54" i="3"/>
  <c r="B62" i="3" s="1"/>
  <c r="B66" i="3" s="1"/>
  <c r="B69" i="3" l="1"/>
  <c r="B68" i="3"/>
  <c r="B6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4" authorId="0" shapeId="0" xr:uid="{00000000-0006-0000-0200-000001000000}">
      <text>
        <r>
          <rPr>
            <sz val="10"/>
            <rFont val="Arial"/>
            <family val="2"/>
          </rPr>
          <t>Probabilidad de aumento de costo de algún equipo o producto requerido. En este sentido, en la planificación se identificó el riesgo que, el precio del equipo o producto podría subir, y se reservó cierto monto para cubrirlo.
======</t>
        </r>
      </text>
    </comment>
    <comment ref="B64" authorId="0" shapeId="0" xr:uid="{00000000-0006-0000-0200-000003000000}">
      <text>
        <r>
          <rPr>
            <sz val="10"/>
            <rFont val="Arial"/>
            <family val="2"/>
          </rPr>
          <t>Se puede usar el valor obtenido de los paquetes de trabajo o módulos, en vez de la tabla de la nómina cuando se ha calculado el costo de la hora por recurso
======</t>
        </r>
      </text>
    </comment>
    <comment ref="A67" authorId="0" shapeId="0" xr:uid="{00000000-0006-0000-0200-000002000000}">
      <text>
        <r>
          <rPr>
            <sz val="10"/>
            <rFont val="Arial"/>
            <family val="2"/>
          </rPr>
          <t>Puede estar entre el 5 y 10 % del costo total del proyecto.
Para lo que se llama imprevistos, riesgos no conocidos.
Por ejemplo:
10% del valor del proyecto para enfrentar posibles problemas técnicos
======</t>
        </r>
      </text>
    </comment>
  </commentList>
</comments>
</file>

<file path=xl/sharedStrings.xml><?xml version="1.0" encoding="utf-8"?>
<sst xmlns="http://schemas.openxmlformats.org/spreadsheetml/2006/main" count="282" uniqueCount="201">
  <si>
    <t>PLANTILLA  AYUDA PARA COSTOS</t>
  </si>
  <si>
    <t>PLANTILLA COSTOS</t>
  </si>
  <si>
    <t>Módulo / Épica</t>
  </si>
  <si>
    <t xml:space="preserve">Id. Act </t>
  </si>
  <si>
    <t>Actividad /Tarea</t>
  </si>
  <si>
    <t>Tipo de recurso (Personal, Materiales, Equipo)</t>
  </si>
  <si>
    <t xml:space="preserve">Recursos </t>
  </si>
  <si>
    <t>Disponibilidad  de Cada Recurso ( Capacidad Maxima por día) (%,horas)</t>
  </si>
  <si>
    <t>p</t>
  </si>
  <si>
    <t>m</t>
  </si>
  <si>
    <t>o</t>
  </si>
  <si>
    <t>Esfuerzo (pert) horas</t>
  </si>
  <si>
    <t>Desviación (p-0)/6</t>
  </si>
  <si>
    <t>Duración de  actividad(esfuerzo en horas)</t>
  </si>
  <si>
    <t>Capacidad Máxima (% Horas¨dia)</t>
  </si>
  <si>
    <t>Disponibilidad Recurso Horas al dia</t>
  </si>
  <si>
    <t>Costo recurso por hora</t>
  </si>
  <si>
    <t>Costo por actividad</t>
  </si>
  <si>
    <t>costo por W.P</t>
  </si>
  <si>
    <t>Autenticación y Perfil</t>
  </si>
  <si>
    <t>AU-01</t>
  </si>
  <si>
    <t>Registro de usuario + validación + email</t>
  </si>
  <si>
    <t>Personal</t>
  </si>
  <si>
    <t>Desarrollador</t>
  </si>
  <si>
    <t>AU-02</t>
  </si>
  <si>
    <t>Login y recuperación de contraseña</t>
  </si>
  <si>
    <t>AU-03</t>
  </si>
  <si>
    <t>Autenticacion</t>
  </si>
  <si>
    <t>Product Owner</t>
  </si>
  <si>
    <t>Gestión de Citas</t>
  </si>
  <si>
    <t>GC-01</t>
  </si>
  <si>
    <t>Agendamiento con disponibilidad en tiempo real</t>
  </si>
  <si>
    <t>GC-02</t>
  </si>
  <si>
    <t>Cancelación/reprogramación con regla de 12h</t>
  </si>
  <si>
    <t>GC-03</t>
  </si>
  <si>
    <t>Notificaciones Push/SMS 24h antes de la cita</t>
  </si>
  <si>
    <t>GC-04</t>
  </si>
  <si>
    <t xml:space="preserve">Criterios de aceptación </t>
  </si>
  <si>
    <t>Historial y Fórmulas</t>
  </si>
  <si>
    <t>HF-01</t>
  </si>
  <si>
    <t>Historial clínico en PDF con filtros</t>
  </si>
  <si>
    <t>HF-02</t>
  </si>
  <si>
    <t>Fórmulas digitales con QR y vigencia</t>
  </si>
  <si>
    <t>HF-03</t>
  </si>
  <si>
    <t>Notificación automática de vencimiento</t>
  </si>
  <si>
    <t>Telemedicina y Emergencias</t>
  </si>
  <si>
    <t>TE-01</t>
  </si>
  <si>
    <t>Pasarela de vídeo segura con chat y fotos</t>
  </si>
  <si>
    <t>TE-02</t>
  </si>
  <si>
    <t>Botón de emergencia con GPS y contactos</t>
  </si>
  <si>
    <t>TE-03</t>
  </si>
  <si>
    <t>Acceso de emergencia sin desbloqueo de perfil</t>
  </si>
  <si>
    <t>Módulo Médicos</t>
  </si>
  <si>
    <t>MM-01</t>
  </si>
  <si>
    <t>Agenda cronológica con estado del paciente</t>
  </si>
  <si>
    <t>MM-02</t>
  </si>
  <si>
    <t>Historial con log de auditoría</t>
  </si>
  <si>
    <t>MM-03</t>
  </si>
  <si>
    <t>Diagnósticos CIE-10 con autoguardado</t>
  </si>
  <si>
    <t>MM-04</t>
  </si>
  <si>
    <t>Incapacidades con firma digital</t>
  </si>
  <si>
    <t>Módulo Administrativo</t>
  </si>
  <si>
    <t>MA-01</t>
  </si>
  <si>
    <t>Panel de gestión de citas con estados</t>
  </si>
  <si>
    <t>MA-02</t>
  </si>
  <si>
    <t>Aprobación de medicamentos + inventario farmacia</t>
  </si>
  <si>
    <t>MA-03</t>
  </si>
  <si>
    <t>Consulta de trámites por identificación</t>
  </si>
  <si>
    <t>MA-04</t>
  </si>
  <si>
    <t>Registro de clínicas con geolocalización</t>
  </si>
  <si>
    <t>Sistema e Infraestructura</t>
  </si>
  <si>
    <t>SI-01</t>
  </si>
  <si>
    <t>Encriptación en reposo y en tránsito SSL/HTTPS</t>
  </si>
  <si>
    <t>SI-02</t>
  </si>
  <si>
    <t>Proceso background notificaciones automáticas</t>
  </si>
  <si>
    <t>Gestión del Proyecto</t>
  </si>
  <si>
    <t>GP-01</t>
  </si>
  <si>
    <t>Planificación y gestión del backlog del proyecto</t>
  </si>
  <si>
    <t>Product Manager</t>
  </si>
  <si>
    <t>GP-02</t>
  </si>
  <si>
    <t>Revisión de HU y criterios de aceptación</t>
  </si>
  <si>
    <t>PLANTILLA DE AYUDA PARA ESTIMACIÓN</t>
  </si>
  <si>
    <t>HU</t>
  </si>
  <si>
    <t>Punto de historia</t>
  </si>
  <si>
    <t>Costo punto de historia</t>
  </si>
  <si>
    <t>costo por Módulo/Épica</t>
  </si>
  <si>
    <t>Como paciente quiero registrarme en la app para acceder a los servicios de salud</t>
  </si>
  <si>
    <t>Diseño e impl. formulario de registro (nombre, cédula, correo, EPS) + validación</t>
  </si>
  <si>
    <t>Login con validación de credenciales, verificación de usuario y recuperación de contraseña vía email</t>
  </si>
  <si>
    <t>Actualización de datos personales (campos no críticos) con reflejo inmediato</t>
  </si>
  <si>
    <t>Como paciente quiero agendar una cita médica para verificar mi salud</t>
  </si>
  <si>
    <t>Flujo de agendamiento con especialidades y validación de horarios duplicados</t>
  </si>
  <si>
    <t>Visualización de disponibilidad de médicos en tiempo real</t>
  </si>
  <si>
    <t>Cancelación/reprogramación hasta 12h antes + liberación inmediata del horario</t>
  </si>
  <si>
    <t>Como administrativo quiero ver solicitudes de citas para gestionarlas y asignarlas</t>
  </si>
  <si>
    <t>Panel de gestión con estados: Aprobada, Rechazada o Pendiente</t>
  </si>
  <si>
    <t>Historial Clínico y Fórmulas</t>
  </si>
  <si>
    <t>Como paciente quiero ver mi historial clínico para conocer mis tratamientos</t>
  </si>
  <si>
    <t>Visualización de historial en formato PDF con filtros por fecha y médico</t>
  </si>
  <si>
    <t>Fórmulas médicas digitales con código QR/barras y fecha de vigencia</t>
  </si>
  <si>
    <t>Notificación automática 2 días antes del vencimiento de fórmula recurrente</t>
  </si>
  <si>
    <t>Como paciente quiero telemedicina para no tener que ir a la clínica</t>
  </si>
  <si>
    <t>Integración de pasarela de vídeo segura con chat y adjuntos de fotos</t>
  </si>
  <si>
    <t>Botón de emergencia: envío de ubicación GPS y notificación a 3 contactos</t>
  </si>
  <si>
    <t>Acceso de emergencia a alergias y tipo de sangre sin desbloquear perfil</t>
  </si>
  <si>
    <t>Como médico quiero ver mi agenda para organizarme en la jornada</t>
  </si>
  <si>
    <t>Agenda cronológica con estado de llegada del paciente (en espera / atendido)</t>
  </si>
  <si>
    <t>Acceso a historial clínico con log de auditoría (solo pacientes del día)</t>
  </si>
  <si>
    <t>Registro de diagnósticos con codificación CIE-10 y autoguardado</t>
  </si>
  <si>
    <t>Generación de incapacidades médicas con firma digital válida legalmente</t>
  </si>
  <si>
    <t>Aprobación de medicamentos con verificación de inventario de farmacia vinculada</t>
  </si>
  <si>
    <t>Consulta de estado de trámites por número de identificación del usuario</t>
  </si>
  <si>
    <t>Registro de clínicas/centros de salud con geolocalización (lat/long) para mapa</t>
  </si>
  <si>
    <t>Como sistema quiero almacenar datos de forma segura</t>
  </si>
  <si>
    <t>Encriptación en reposo (BD) y en tránsito (SSL/HTTPS)</t>
  </si>
  <si>
    <t>Proceso background de notificaciones automáticas sin intervención humana</t>
  </si>
  <si>
    <t xml:space="preserve"> </t>
  </si>
  <si>
    <t>Formulación Digital</t>
  </si>
  <si>
    <t>Como médico quiero generar recetas médicas con firma digital</t>
  </si>
  <si>
    <t>Generación de receta médica con firma digital válida legalmente y exportable en PDF</t>
  </si>
  <si>
    <t>Operador farmacéutico visualiza fórmulas pendientes y marca medicamentos como preparados</t>
  </si>
  <si>
    <t>Notificaciones</t>
  </si>
  <si>
    <t>Como paciente quiero notificaciones de mis citas para no olvidarlas</t>
  </si>
  <si>
    <t>Envío de SMS/Push 24h antes de la cita al paciente</t>
  </si>
  <si>
    <t>Afiliación</t>
  </si>
  <si>
    <t>Como administrativo quiero validar si el usuario está en Régimen Contributivo o Subsidiado</t>
  </si>
  <si>
    <t>Verificación en tiempo real con BDUA/Sisbén y confirmación de pagos realizados</t>
  </si>
  <si>
    <t>Reportes</t>
  </si>
  <si>
    <t>Como sistema quiero generar reportes de aportes del 12% para el Régimen Contributivo</t>
  </si>
  <si>
    <t>Generación de reportes de aportes con auditorías semestrales</t>
  </si>
  <si>
    <t>UI/UX</t>
  </si>
  <si>
    <t>Como paciente quiero que la app use la paleta y tipografía de SURA</t>
  </si>
  <si>
    <t>Implementación de guías de marca SURA + accesibilidad para adultos mayores</t>
  </si>
  <si>
    <t>INDEMNIZACIONES</t>
  </si>
  <si>
    <t>DURACIÓN DEL PROYECTO MESES</t>
  </si>
  <si>
    <t>RESERVA GERENCIAL</t>
  </si>
  <si>
    <t>HORAS A TRABAJAR POR MES</t>
  </si>
  <si>
    <t>Alternativa Esquema Actual</t>
  </si>
  <si>
    <t>NOMINA</t>
  </si>
  <si>
    <t>CARGO</t>
  </si>
  <si>
    <t>CANTIDAD</t>
  </si>
  <si>
    <t>SALARIO</t>
  </si>
  <si>
    <t>INCENTIVOS</t>
  </si>
  <si>
    <t>PRESTACIONES</t>
  </si>
  <si>
    <t>COSTO + INDEM</t>
  </si>
  <si>
    <t>COSTO HORA</t>
  </si>
  <si>
    <t>COSTO MENSUAL</t>
  </si>
  <si>
    <t>Cantidad de personal</t>
  </si>
  <si>
    <t>ESTIMADO MENSUAL</t>
  </si>
  <si>
    <t xml:space="preserve"> TOTAL ESTIMADO PROYECTO</t>
  </si>
  <si>
    <t>OTROS COSTOS</t>
  </si>
  <si>
    <t>ITEM</t>
  </si>
  <si>
    <t>TIPO(Directo/Indirecto)</t>
  </si>
  <si>
    <t>COSTO  UNITARIO</t>
  </si>
  <si>
    <t>COSTO TOTAL</t>
  </si>
  <si>
    <t>Servidor a la nube por mes (10 euros  41.521,50 COP)</t>
  </si>
  <si>
    <t>Directo</t>
  </si>
  <si>
    <t>Servicio de videollamada (Daily.co o Agora)</t>
  </si>
  <si>
    <t>Google Maps API</t>
  </si>
  <si>
    <t>Twilio SMS/Push notifications</t>
  </si>
  <si>
    <t xml:space="preserve">TOTAL OTROS COSTOS </t>
  </si>
  <si>
    <t>TIPO DE RESERVA CONTINGENCIA</t>
  </si>
  <si>
    <t>VALOR</t>
  </si>
  <si>
    <t>Horas extra dominicales y festivas</t>
  </si>
  <si>
    <t>$</t>
  </si>
  <si>
    <t>TOTAL DE LA RESERVA  CONTINGENCIA</t>
  </si>
  <si>
    <t>ESTIMADO RECURSO HUMANO</t>
  </si>
  <si>
    <t xml:space="preserve">COSTO DE LA RESERVA DE CONTINGENCIA </t>
  </si>
  <si>
    <t xml:space="preserve">COSTO DE RESERVA GERENCIAL (       5   %) </t>
  </si>
  <si>
    <t>UTILIDAD (%10)</t>
  </si>
  <si>
    <t xml:space="preserve">COSTO DEL PRESUPUESTO DEL PROYECTO </t>
  </si>
  <si>
    <t>Datos a tener en cuenta</t>
  </si>
  <si>
    <t>Salario mínimo 2025</t>
  </si>
  <si>
    <t>Subsidio de transporte</t>
  </si>
  <si>
    <t>Hasta dos salarios mínimos</t>
  </si>
  <si>
    <t>Inversión mensual por trabajador</t>
  </si>
  <si>
    <t>Concepto</t>
  </si>
  <si>
    <t>%</t>
  </si>
  <si>
    <t>Monto</t>
  </si>
  <si>
    <t>Horas trabajadas mensuales</t>
  </si>
  <si>
    <t>Salario base</t>
  </si>
  <si>
    <t>Salario Mensual</t>
  </si>
  <si>
    <t>Prima Legal</t>
  </si>
  <si>
    <t>Cesantias</t>
  </si>
  <si>
    <t>Intereses a las cesantias</t>
  </si>
  <si>
    <t>Vacaciones</t>
  </si>
  <si>
    <t>Total prestaciones</t>
  </si>
  <si>
    <t>Aportes a salud</t>
  </si>
  <si>
    <t>Aportes a pensión</t>
  </si>
  <si>
    <t>Parafiscales</t>
  </si>
  <si>
    <t>ARL Riesgo Administrativo</t>
  </si>
  <si>
    <t>Total Aportes</t>
  </si>
  <si>
    <t>Total Mensual</t>
  </si>
  <si>
    <t>Total Anual</t>
  </si>
  <si>
    <t>Total Hora</t>
  </si>
  <si>
    <t>Total puntos de historia proyecto</t>
  </si>
  <si>
    <t>Puntos de historia por mes</t>
  </si>
  <si>
    <t>Costo del equipo por mes</t>
  </si>
  <si>
    <t>Valor del punto de historia por mes</t>
  </si>
  <si>
    <t>Valor del esfuerzo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</si>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</sst>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 &quot;* #,##0_ ;_ &quot;$ &quot;* \-#,##0_ ;_ &quot;$ &quot;* \-??_ ;_ @_ "/>
    <numFmt numFmtId="165" formatCode="_ * #,##0_ ;_ * \-#,##0_ ;_ * \-??_ ;_ @_ "/>
    <numFmt numFmtId="166" formatCode="_ * #,##0.0_ ;_ * \-#,##0.0_ ;_ * \-??_ ;_ @_ "/>
    <numFmt numFmtId="167" formatCode="#,##0.0"/>
    <numFmt numFmtId="168" formatCode="0.000%"/>
  </numFmts>
  <fonts count="28" x14ac:knownFonts="1">
    <font>
      <sz val="11"/>
      <color theme="1"/>
      <name val="Calibri"/>
      <charset val="1"/>
    </font>
    <font>
      <b/>
      <sz val="14"/>
      <color rgb="FF0000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7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7"/>
      <color theme="1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10"/>
      <color theme="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1"/>
      <color theme="0"/>
      <name val="Calibri"/>
      <family val="2"/>
      <charset val="1"/>
    </font>
    <font>
      <sz val="11"/>
      <color theme="1"/>
      <name val="Arial"/>
      <family val="2"/>
      <charset val="1"/>
    </font>
    <font>
      <b/>
      <sz val="9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59978026673177287"/>
        <bgColor rgb="FFC6D9F0"/>
      </patternFill>
    </fill>
    <fill>
      <patternFill patternType="solid">
        <fgColor rgb="FFD6E3BC"/>
        <bgColor rgb="FFC2D69B"/>
      </patternFill>
    </fill>
    <fill>
      <patternFill patternType="solid">
        <fgColor rgb="FF31859B"/>
        <bgColor rgb="FF548DD4"/>
      </patternFill>
    </fill>
    <fill>
      <patternFill patternType="solid">
        <fgColor rgb="FF92D050"/>
        <bgColor rgb="FFC2D69B"/>
      </patternFill>
    </fill>
    <fill>
      <patternFill patternType="solid">
        <fgColor rgb="FF00B050"/>
        <bgColor rgb="FF008080"/>
      </patternFill>
    </fill>
    <fill>
      <patternFill patternType="solid">
        <fgColor theme="5" tint="0.79979857783745845"/>
        <bgColor rgb="FFD6E3BC"/>
      </patternFill>
    </fill>
    <fill>
      <patternFill patternType="solid">
        <fgColor rgb="FF92CDDC"/>
        <bgColor rgb="FFB9CDE5"/>
      </patternFill>
    </fill>
    <fill>
      <patternFill patternType="solid">
        <fgColor rgb="FF002060"/>
        <bgColor rgb="FF000080"/>
      </patternFill>
    </fill>
    <fill>
      <patternFill patternType="solid">
        <fgColor theme="0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808080"/>
        <bgColor rgb="FF7F7F7F"/>
      </patternFill>
    </fill>
    <fill>
      <patternFill patternType="solid">
        <fgColor rgb="FFBFBFBF"/>
        <bgColor rgb="FFB9CDE5"/>
      </patternFill>
    </fill>
    <fill>
      <patternFill patternType="solid">
        <fgColor rgb="FF7F7F7F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D5A6BD"/>
        <bgColor rgb="FFBFBFBF"/>
      </patternFill>
    </fill>
    <fill>
      <patternFill patternType="solid">
        <fgColor rgb="FFC6D9F0"/>
        <bgColor rgb="FFCFE2F3"/>
      </patternFill>
    </fill>
    <fill>
      <patternFill patternType="solid">
        <fgColor rgb="FF548DD4"/>
        <bgColor rgb="FF31859B"/>
      </patternFill>
    </fill>
    <fill>
      <patternFill patternType="solid">
        <fgColor rgb="FFC2D69B"/>
        <bgColor rgb="FFD6E3BC"/>
      </patternFill>
    </fill>
    <fill>
      <patternFill patternType="solid">
        <fgColor rgb="FFCFE2F3"/>
        <bgColor rgb="FFC6D9F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7" fillId="11" borderId="18" xfId="0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horizontal="center" vertical="center"/>
    </xf>
    <xf numFmtId="0" fontId="17" fillId="11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vertical="center" wrapText="1"/>
    </xf>
    <xf numFmtId="0" fontId="6" fillId="0" borderId="3" xfId="0" applyFont="1" applyBorder="1"/>
    <xf numFmtId="9" fontId="6" fillId="0" borderId="3" xfId="0" applyNumberFormat="1" applyFont="1" applyBorder="1" applyAlignment="1">
      <alignment vertical="center"/>
    </xf>
    <xf numFmtId="0" fontId="7" fillId="0" borderId="3" xfId="0" applyFont="1" applyBorder="1"/>
    <xf numFmtId="1" fontId="7" fillId="0" borderId="3" xfId="0" applyNumberFormat="1" applyFont="1" applyBorder="1"/>
    <xf numFmtId="4" fontId="7" fillId="0" borderId="3" xfId="0" applyNumberFormat="1" applyFont="1" applyBorder="1"/>
    <xf numFmtId="9" fontId="7" fillId="0" borderId="3" xfId="0" applyNumberFormat="1" applyFont="1" applyBorder="1"/>
    <xf numFmtId="2" fontId="7" fillId="0" borderId="3" xfId="0" applyNumberFormat="1" applyFont="1" applyBorder="1"/>
    <xf numFmtId="0" fontId="8" fillId="0" borderId="0" xfId="0" applyFont="1"/>
    <xf numFmtId="9" fontId="6" fillId="0" borderId="3" xfId="0" applyNumberFormat="1" applyFont="1" applyBorder="1"/>
    <xf numFmtId="0" fontId="8" fillId="7" borderId="0" xfId="0" applyFont="1" applyFill="1"/>
    <xf numFmtId="0" fontId="5" fillId="7" borderId="3" xfId="0" applyFont="1" applyFill="1" applyBorder="1" applyAlignment="1">
      <alignment wrapText="1"/>
    </xf>
    <xf numFmtId="0" fontId="9" fillId="7" borderId="0" xfId="0" applyFont="1" applyFill="1" applyAlignment="1">
      <alignment vertical="center"/>
    </xf>
    <xf numFmtId="0" fontId="6" fillId="7" borderId="3" xfId="0" applyFont="1" applyFill="1" applyBorder="1"/>
    <xf numFmtId="0" fontId="6" fillId="7" borderId="3" xfId="0" applyFont="1" applyFill="1" applyBorder="1" applyAlignment="1">
      <alignment horizontal="left"/>
    </xf>
    <xf numFmtId="0" fontId="0" fillId="7" borderId="0" xfId="0" applyFill="1"/>
    <xf numFmtId="9" fontId="6" fillId="7" borderId="3" xfId="0" applyNumberFormat="1" applyFont="1" applyFill="1" applyBorder="1" applyAlignment="1">
      <alignment horizontal="right" vertical="center"/>
    </xf>
    <xf numFmtId="0" fontId="7" fillId="7" borderId="3" xfId="0" applyFont="1" applyFill="1" applyBorder="1"/>
    <xf numFmtId="1" fontId="7" fillId="7" borderId="3" xfId="0" applyNumberFormat="1" applyFont="1" applyFill="1" applyBorder="1"/>
    <xf numFmtId="4" fontId="7" fillId="7" borderId="3" xfId="0" applyNumberFormat="1" applyFont="1" applyFill="1" applyBorder="1"/>
    <xf numFmtId="9" fontId="7" fillId="7" borderId="3" xfId="0" applyNumberFormat="1" applyFont="1" applyFill="1" applyBorder="1"/>
    <xf numFmtId="2" fontId="7" fillId="7" borderId="3" xfId="0" applyNumberFormat="1" applyFont="1" applyFill="1" applyBorder="1" applyAlignment="1">
      <alignment horizontal="center"/>
    </xf>
    <xf numFmtId="0" fontId="5" fillId="7" borderId="3" xfId="0" applyFont="1" applyFill="1" applyBorder="1" applyAlignment="1">
      <alignment vertical="center" wrapText="1"/>
    </xf>
    <xf numFmtId="0" fontId="6" fillId="7" borderId="7" xfId="0" applyFont="1" applyFill="1" applyBorder="1"/>
    <xf numFmtId="0" fontId="5" fillId="7" borderId="3" xfId="0" applyFont="1" applyFill="1" applyBorder="1"/>
    <xf numFmtId="9" fontId="5" fillId="7" borderId="8" xfId="0" applyNumberFormat="1" applyFont="1" applyFill="1" applyBorder="1"/>
    <xf numFmtId="2" fontId="0" fillId="7" borderId="0" xfId="0" applyNumberFormat="1" applyFill="1"/>
    <xf numFmtId="0" fontId="6" fillId="0" borderId="7" xfId="0" applyFont="1" applyBorder="1"/>
    <xf numFmtId="9" fontId="6" fillId="0" borderId="8" xfId="0" applyNumberFormat="1" applyFont="1" applyBorder="1"/>
    <xf numFmtId="9" fontId="6" fillId="7" borderId="3" xfId="0" applyNumberFormat="1" applyFont="1" applyFill="1" applyBorder="1"/>
    <xf numFmtId="0" fontId="5" fillId="0" borderId="9" xfId="0" applyFont="1" applyBorder="1" applyAlignment="1">
      <alignment wrapText="1"/>
    </xf>
    <xf numFmtId="0" fontId="5" fillId="0" borderId="9" xfId="0" applyFont="1" applyBorder="1" applyAlignment="1">
      <alignment vertical="center" wrapText="1"/>
    </xf>
    <xf numFmtId="0" fontId="6" fillId="0" borderId="9" xfId="0" applyFont="1" applyBorder="1"/>
    <xf numFmtId="9" fontId="6" fillId="0" borderId="9" xfId="0" applyNumberFormat="1" applyFont="1" applyBorder="1"/>
    <xf numFmtId="0" fontId="4" fillId="0" borderId="3" xfId="0" applyFont="1" applyBorder="1" applyAlignment="1">
      <alignment vertical="center" wrapText="1"/>
    </xf>
    <xf numFmtId="2" fontId="7" fillId="0" borderId="3" xfId="0" applyNumberFormat="1" applyFont="1" applyBorder="1" applyAlignment="1">
      <alignment horizontal="center"/>
    </xf>
    <xf numFmtId="2" fontId="7" fillId="7" borderId="3" xfId="0" applyNumberFormat="1" applyFont="1" applyFill="1" applyBorder="1"/>
    <xf numFmtId="2" fontId="7" fillId="7" borderId="0" xfId="0" applyNumberFormat="1" applyFont="1" applyFill="1"/>
    <xf numFmtId="0" fontId="10" fillId="0" borderId="1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2" fillId="0" borderId="3" xfId="0" applyFont="1" applyBorder="1"/>
    <xf numFmtId="3" fontId="0" fillId="0" borderId="0" xfId="0" applyNumberFormat="1"/>
    <xf numFmtId="0" fontId="13" fillId="0" borderId="0" xfId="0" applyFont="1"/>
    <xf numFmtId="2" fontId="0" fillId="0" borderId="0" xfId="0" applyNumberFormat="1"/>
    <xf numFmtId="0" fontId="11" fillId="0" borderId="9" xfId="0" applyFont="1" applyBorder="1" applyAlignment="1">
      <alignment wrapText="1"/>
    </xf>
    <xf numFmtId="0" fontId="12" fillId="0" borderId="9" xfId="0" applyFont="1" applyBorder="1"/>
    <xf numFmtId="0" fontId="10" fillId="0" borderId="3" xfId="0" applyFont="1" applyBorder="1" applyAlignment="1">
      <alignment wrapText="1"/>
    </xf>
    <xf numFmtId="2" fontId="7" fillId="0" borderId="9" xfId="0" applyNumberFormat="1" applyFont="1" applyBorder="1"/>
    <xf numFmtId="0" fontId="7" fillId="0" borderId="0" xfId="0" applyFont="1"/>
    <xf numFmtId="0" fontId="5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6" fillId="0" borderId="0" xfId="0" applyFont="1"/>
    <xf numFmtId="2" fontId="7" fillId="0" borderId="0" xfId="0" applyNumberFormat="1" applyFont="1"/>
    <xf numFmtId="0" fontId="14" fillId="0" borderId="0" xfId="0" applyFont="1"/>
    <xf numFmtId="0" fontId="15" fillId="9" borderId="3" xfId="0" applyFont="1" applyFill="1" applyBorder="1"/>
    <xf numFmtId="9" fontId="16" fillId="10" borderId="3" xfId="0" applyNumberFormat="1" applyFont="1" applyFill="1" applyBorder="1"/>
    <xf numFmtId="164" fontId="16" fillId="10" borderId="0" xfId="0" applyNumberFormat="1" applyFont="1" applyFill="1"/>
    <xf numFmtId="0" fontId="7" fillId="10" borderId="0" xfId="0" applyFont="1" applyFill="1"/>
    <xf numFmtId="0" fontId="7" fillId="10" borderId="3" xfId="0" applyFont="1" applyFill="1" applyBorder="1"/>
    <xf numFmtId="0" fontId="17" fillId="12" borderId="12" xfId="0" applyFont="1" applyFill="1" applyBorder="1" applyAlignment="1">
      <alignment horizontal="center" vertical="center" wrapText="1"/>
    </xf>
    <xf numFmtId="0" fontId="17" fillId="12" borderId="13" xfId="0" applyFont="1" applyFill="1" applyBorder="1" applyAlignment="1">
      <alignment horizontal="center" vertical="center" wrapText="1"/>
    </xf>
    <xf numFmtId="0" fontId="17" fillId="12" borderId="14" xfId="0" applyFont="1" applyFill="1" applyBorder="1" applyAlignment="1">
      <alignment horizontal="center" vertical="center" wrapText="1"/>
    </xf>
    <xf numFmtId="0" fontId="17" fillId="12" borderId="15" xfId="0" applyFont="1" applyFill="1" applyBorder="1" applyAlignment="1">
      <alignment horizontal="center" vertical="center" wrapText="1"/>
    </xf>
    <xf numFmtId="0" fontId="16" fillId="10" borderId="16" xfId="0" applyFont="1" applyFill="1" applyBorder="1"/>
    <xf numFmtId="165" fontId="16" fillId="10" borderId="3" xfId="0" applyNumberFormat="1" applyFont="1" applyFill="1" applyBorder="1" applyAlignment="1">
      <alignment horizontal="center"/>
    </xf>
    <xf numFmtId="164" fontId="7" fillId="10" borderId="3" xfId="0" applyNumberFormat="1" applyFont="1" applyFill="1" applyBorder="1"/>
    <xf numFmtId="164" fontId="16" fillId="10" borderId="3" xfId="0" applyNumberFormat="1" applyFont="1" applyFill="1" applyBorder="1"/>
    <xf numFmtId="165" fontId="16" fillId="0" borderId="3" xfId="0" applyNumberFormat="1" applyFont="1" applyBorder="1"/>
    <xf numFmtId="165" fontId="16" fillId="0" borderId="7" xfId="0" applyNumberFormat="1" applyFont="1" applyBorder="1"/>
    <xf numFmtId="165" fontId="16" fillId="0" borderId="17" xfId="0" applyNumberFormat="1" applyFont="1" applyBorder="1"/>
    <xf numFmtId="165" fontId="0" fillId="0" borderId="0" xfId="0" applyNumberFormat="1"/>
    <xf numFmtId="165" fontId="16" fillId="10" borderId="3" xfId="0" applyNumberFormat="1" applyFont="1" applyFill="1" applyBorder="1" applyAlignment="1">
      <alignment horizontal="left"/>
    </xf>
    <xf numFmtId="0" fontId="12" fillId="0" borderId="16" xfId="0" applyFont="1" applyBorder="1" applyAlignment="1">
      <alignment wrapText="1"/>
    </xf>
    <xf numFmtId="165" fontId="16" fillId="10" borderId="3" xfId="0" applyNumberFormat="1" applyFont="1" applyFill="1" applyBorder="1"/>
    <xf numFmtId="165" fontId="16" fillId="0" borderId="3" xfId="0" applyNumberFormat="1" applyFont="1" applyBorder="1" applyAlignment="1">
      <alignment horizontal="center"/>
    </xf>
    <xf numFmtId="0" fontId="16" fillId="0" borderId="16" xfId="0" applyFont="1" applyBorder="1" applyAlignment="1">
      <alignment wrapText="1"/>
    </xf>
    <xf numFmtId="0" fontId="16" fillId="0" borderId="3" xfId="0" applyFont="1" applyBorder="1" applyAlignment="1">
      <alignment wrapText="1"/>
    </xf>
    <xf numFmtId="166" fontId="16" fillId="0" borderId="3" xfId="0" applyNumberFormat="1" applyFont="1" applyBorder="1" applyAlignment="1">
      <alignment horizontal="center"/>
    </xf>
    <xf numFmtId="0" fontId="16" fillId="0" borderId="3" xfId="0" applyFont="1" applyBorder="1"/>
    <xf numFmtId="0" fontId="16" fillId="0" borderId="3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8" fillId="0" borderId="3" xfId="0" applyFont="1" applyBorder="1" applyAlignment="1">
      <alignment horizontal="right"/>
    </xf>
    <xf numFmtId="165" fontId="18" fillId="0" borderId="3" xfId="0" applyNumberFormat="1" applyFont="1" applyBorder="1"/>
    <xf numFmtId="0" fontId="8" fillId="10" borderId="3" xfId="0" applyFont="1" applyFill="1" applyBorder="1"/>
    <xf numFmtId="0" fontId="17" fillId="12" borderId="16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/>
    </xf>
    <xf numFmtId="3" fontId="16" fillId="0" borderId="3" xfId="0" applyNumberFormat="1" applyFont="1" applyBorder="1"/>
    <xf numFmtId="3" fontId="16" fillId="0" borderId="3" xfId="0" applyNumberFormat="1" applyFont="1" applyBorder="1" applyAlignment="1">
      <alignment vertical="center"/>
    </xf>
    <xf numFmtId="0" fontId="16" fillId="0" borderId="16" xfId="0" applyFont="1" applyBorder="1" applyAlignment="1">
      <alignment horizontal="left" wrapText="1"/>
    </xf>
    <xf numFmtId="167" fontId="16" fillId="0" borderId="3" xfId="0" applyNumberFormat="1" applyFont="1" applyBorder="1"/>
    <xf numFmtId="0" fontId="16" fillId="13" borderId="16" xfId="0" applyFont="1" applyFill="1" applyBorder="1" applyAlignment="1">
      <alignment horizontal="left" wrapText="1"/>
    </xf>
    <xf numFmtId="3" fontId="16" fillId="13" borderId="3" xfId="0" applyNumberFormat="1" applyFont="1" applyFill="1" applyBorder="1"/>
    <xf numFmtId="3" fontId="18" fillId="13" borderId="3" xfId="0" applyNumberFormat="1" applyFont="1" applyFill="1" applyBorder="1" applyAlignment="1">
      <alignment horizontal="right"/>
    </xf>
    <xf numFmtId="3" fontId="7" fillId="13" borderId="3" xfId="0" applyNumberFormat="1" applyFont="1" applyFill="1" applyBorder="1"/>
    <xf numFmtId="0" fontId="19" fillId="14" borderId="3" xfId="0" applyFont="1" applyFill="1" applyBorder="1" applyAlignment="1">
      <alignment horizontal="center"/>
    </xf>
    <xf numFmtId="0" fontId="20" fillId="0" borderId="0" xfId="0" applyFont="1"/>
    <xf numFmtId="165" fontId="7" fillId="0" borderId="3" xfId="0" applyNumberFormat="1" applyFont="1" applyBorder="1"/>
    <xf numFmtId="0" fontId="19" fillId="14" borderId="3" xfId="0" applyFont="1" applyFill="1" applyBorder="1"/>
    <xf numFmtId="0" fontId="21" fillId="15" borderId="3" xfId="0" applyFont="1" applyFill="1" applyBorder="1"/>
    <xf numFmtId="165" fontId="21" fillId="15" borderId="3" xfId="0" applyNumberFormat="1" applyFont="1" applyFill="1" applyBorder="1"/>
    <xf numFmtId="3" fontId="21" fillId="15" borderId="3" xfId="0" applyNumberFormat="1" applyFont="1" applyFill="1" applyBorder="1"/>
    <xf numFmtId="0" fontId="21" fillId="16" borderId="3" xfId="0" applyFont="1" applyFill="1" applyBorder="1"/>
    <xf numFmtId="165" fontId="21" fillId="16" borderId="3" xfId="0" applyNumberFormat="1" applyFont="1" applyFill="1" applyBorder="1"/>
    <xf numFmtId="0" fontId="21" fillId="5" borderId="3" xfId="0" applyFont="1" applyFill="1" applyBorder="1"/>
    <xf numFmtId="165" fontId="21" fillId="5" borderId="3" xfId="0" applyNumberFormat="1" applyFont="1" applyFill="1" applyBorder="1"/>
    <xf numFmtId="0" fontId="13" fillId="17" borderId="3" xfId="0" applyFont="1" applyFill="1" applyBorder="1"/>
    <xf numFmtId="165" fontId="13" fillId="17" borderId="3" xfId="0" applyNumberFormat="1" applyFont="1" applyFill="1" applyBorder="1"/>
    <xf numFmtId="0" fontId="13" fillId="18" borderId="3" xfId="0" applyFont="1" applyFill="1" applyBorder="1"/>
    <xf numFmtId="165" fontId="13" fillId="18" borderId="3" xfId="0" applyNumberFormat="1" applyFont="1" applyFill="1" applyBorder="1"/>
    <xf numFmtId="0" fontId="8" fillId="19" borderId="0" xfId="0" applyFont="1" applyFill="1" applyAlignment="1">
      <alignment horizontal="center"/>
    </xf>
    <xf numFmtId="0" fontId="8" fillId="0" borderId="3" xfId="0" applyFont="1" applyBorder="1"/>
    <xf numFmtId="168" fontId="7" fillId="0" borderId="3" xfId="0" applyNumberFormat="1" applyFont="1" applyBorder="1"/>
    <xf numFmtId="10" fontId="7" fillId="0" borderId="3" xfId="0" applyNumberFormat="1" applyFont="1" applyBorder="1"/>
    <xf numFmtId="4" fontId="7" fillId="20" borderId="3" xfId="0" applyNumberFormat="1" applyFont="1" applyFill="1" applyBorder="1"/>
    <xf numFmtId="4" fontId="7" fillId="0" borderId="0" xfId="0" applyNumberFormat="1" applyFont="1"/>
    <xf numFmtId="0" fontId="8" fillId="21" borderId="3" xfId="0" applyFont="1" applyFill="1" applyBorder="1"/>
    <xf numFmtId="0" fontId="23" fillId="0" borderId="3" xfId="0" applyFont="1" applyBorder="1" applyAlignment="1">
      <alignment wrapText="1"/>
    </xf>
    <xf numFmtId="0" fontId="23" fillId="0" borderId="9" xfId="0" applyFont="1" applyBorder="1" applyAlignment="1">
      <alignment wrapText="1"/>
    </xf>
    <xf numFmtId="0" fontId="24" fillId="0" borderId="9" xfId="0" applyFont="1" applyBorder="1"/>
    <xf numFmtId="0" fontId="24" fillId="0" borderId="13" xfId="0" applyFont="1" applyBorder="1"/>
    <xf numFmtId="0" fontId="25" fillId="0" borderId="0" xfId="0" applyFont="1"/>
    <xf numFmtId="0" fontId="0" fillId="0" borderId="0" xfId="0" applyBorder="1"/>
    <xf numFmtId="2" fontId="7" fillId="0" borderId="0" xfId="0" applyNumberFormat="1" applyFont="1" applyBorder="1"/>
    <xf numFmtId="0" fontId="26" fillId="0" borderId="0" xfId="0" applyFont="1"/>
    <xf numFmtId="2" fontId="27" fillId="0" borderId="0" xfId="0" applyNumberFormat="1" applyFont="1"/>
    <xf numFmtId="4" fontId="27" fillId="0" borderId="0" xfId="0" applyNumberFormat="1" applyFont="1"/>
    <xf numFmtId="2" fontId="7" fillId="0" borderId="13" xfId="0" applyNumberFormat="1" applyFont="1" applyBorder="1"/>
    <xf numFmtId="2" fontId="0" fillId="0" borderId="8" xfId="0" applyNumberFormat="1" applyBorder="1"/>
    <xf numFmtId="2" fontId="0" fillId="0" borderId="3" xfId="0" applyNumberFormat="1" applyBorder="1"/>
    <xf numFmtId="3" fontId="7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FBFBF"/>
      <rgbColor rgb="FF808080"/>
      <rgbColor rgb="FF9999FF"/>
      <rgbColor rgb="FF993366"/>
      <rgbColor rgb="FFFFFFCC"/>
      <rgbColor rgb="FFCFE2F3"/>
      <rgbColor rgb="FF660066"/>
      <rgbColor rgb="FFFF8080"/>
      <rgbColor rgb="FF0066CC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9CDE5"/>
      <rgbColor rgb="FFD6E3BC"/>
      <rgbColor rgb="FFC2D69B"/>
      <rgbColor rgb="FF92CDDC"/>
      <rgbColor rgb="FFFF99CC"/>
      <rgbColor rgb="FFD5A6BD"/>
      <rgbColor rgb="FFF2DCDB"/>
      <rgbColor rgb="FF3366FF"/>
      <rgbColor rgb="FF33CCCC"/>
      <rgbColor rgb="FF92D050"/>
      <rgbColor rgb="FFFFC000"/>
      <rgbColor rgb="FFFF9900"/>
      <rgbColor rgb="FFFF6600"/>
      <rgbColor rgb="FF548DD4"/>
      <rgbColor rgb="FF7F7F7F"/>
      <rgbColor rgb="FF002060"/>
      <rgbColor rgb="FF31859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opLeftCell="D1" zoomScale="92" zoomScaleNormal="92" workbookViewId="0">
      <selection activeCell="R4" sqref="R4"/>
    </sheetView>
  </sheetViews>
  <sheetFormatPr baseColWidth="10" defaultColWidth="14.42578125" defaultRowHeight="15" x14ac:dyDescent="0.25"/>
  <cols>
    <col min="1" max="1" width="22.7109375" customWidth="1"/>
    <col min="2" max="2" width="7.28515625" customWidth="1"/>
    <col min="3" max="3" width="27" customWidth="1"/>
    <col min="4" max="4" width="10.140625" customWidth="1"/>
    <col min="5" max="6" width="10.7109375" customWidth="1"/>
    <col min="7" max="7" width="17.7109375" customWidth="1"/>
    <col min="8" max="8" width="14.140625" customWidth="1"/>
    <col min="9" max="9" width="5.7109375" customWidth="1"/>
    <col min="10" max="10" width="9.42578125" customWidth="1"/>
    <col min="11" max="11" width="6.28515625" customWidth="1"/>
    <col min="12" max="12" width="11.28515625" customWidth="1"/>
    <col min="13" max="13" width="8.7109375" customWidth="1"/>
    <col min="14" max="14" width="12.7109375" customWidth="1"/>
    <col min="15" max="16" width="12.42578125" customWidth="1"/>
    <col min="17" max="17" width="10.7109375" customWidth="1"/>
    <col min="18" max="18" width="25" customWidth="1"/>
    <col min="19" max="19" width="15.7109375" customWidth="1"/>
    <col min="20" max="22" width="10.7109375" customWidth="1"/>
  </cols>
  <sheetData>
    <row r="1" spans="1:19" ht="28.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 t="s">
        <v>1</v>
      </c>
      <c r="R1" s="6"/>
      <c r="S1" s="6"/>
    </row>
    <row r="2" spans="1:19" ht="75.75" customHeight="1" x14ac:dyDescent="0.25">
      <c r="A2" s="9" t="s">
        <v>2</v>
      </c>
      <c r="B2" s="10" t="s">
        <v>3</v>
      </c>
      <c r="C2" s="11" t="s">
        <v>4</v>
      </c>
      <c r="D2" s="12" t="s">
        <v>5</v>
      </c>
      <c r="E2" s="11" t="s">
        <v>6</v>
      </c>
      <c r="H2" s="13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4" t="s">
        <v>16</v>
      </c>
      <c r="R2" s="14" t="s">
        <v>17</v>
      </c>
      <c r="S2" s="15" t="s">
        <v>18</v>
      </c>
    </row>
    <row r="3" spans="1:19" ht="15.75" customHeight="1" x14ac:dyDescent="0.25">
      <c r="A3" s="16" t="s">
        <v>19</v>
      </c>
      <c r="B3" s="17" t="s">
        <v>20</v>
      </c>
      <c r="C3" s="18" t="s">
        <v>21</v>
      </c>
      <c r="D3" s="19" t="s">
        <v>22</v>
      </c>
      <c r="E3" s="19" t="s">
        <v>23</v>
      </c>
      <c r="H3" s="20">
        <v>0.5</v>
      </c>
      <c r="I3" s="21">
        <v>15</v>
      </c>
      <c r="J3" s="21">
        <v>14</v>
      </c>
      <c r="K3" s="21">
        <v>8</v>
      </c>
      <c r="L3" s="22">
        <f t="shared" ref="L3:L27" si="0">(I3+4*J3+K3)/6</f>
        <v>13.166666666666666</v>
      </c>
      <c r="M3" s="23">
        <f t="shared" ref="M3:M27" si="1">(I3-K3)/6</f>
        <v>1.1666666666666667</v>
      </c>
      <c r="N3" s="23">
        <f t="shared" ref="N3:N27" si="2">(L3+M3)*8</f>
        <v>114.66666666666666</v>
      </c>
      <c r="O3" s="24">
        <v>0.5</v>
      </c>
      <c r="P3" s="23">
        <f>N3*O3</f>
        <v>57.333333333333329</v>
      </c>
      <c r="Q3" s="25">
        <v>441.86399999999998</v>
      </c>
      <c r="R3" s="25">
        <f t="shared" ref="R3:R27" si="3">N3*Q3</f>
        <v>50667.071999999993</v>
      </c>
    </row>
    <row r="4" spans="1:19" ht="18" customHeight="1" x14ac:dyDescent="0.25">
      <c r="A4" s="26"/>
      <c r="B4" s="17" t="s">
        <v>24</v>
      </c>
      <c r="C4" s="18" t="s">
        <v>25</v>
      </c>
      <c r="D4" s="19" t="s">
        <v>22</v>
      </c>
      <c r="E4" s="19" t="s">
        <v>23</v>
      </c>
      <c r="H4" s="27">
        <v>0.5</v>
      </c>
      <c r="I4" s="21">
        <v>12</v>
      </c>
      <c r="J4" s="21">
        <v>8</v>
      </c>
      <c r="K4" s="21">
        <v>4</v>
      </c>
      <c r="L4" s="22">
        <f t="shared" si="0"/>
        <v>8</v>
      </c>
      <c r="M4" s="23">
        <f t="shared" si="1"/>
        <v>1.3333333333333333</v>
      </c>
      <c r="N4" s="23">
        <f t="shared" si="2"/>
        <v>74.666666666666671</v>
      </c>
      <c r="O4" s="24">
        <v>0.5</v>
      </c>
      <c r="P4" s="23">
        <f>O4*Presupuesto!$B$5</f>
        <v>8</v>
      </c>
      <c r="Q4" s="25">
        <v>441.86399999999998</v>
      </c>
      <c r="R4" s="25">
        <f t="shared" si="3"/>
        <v>32992.512000000002</v>
      </c>
    </row>
    <row r="5" spans="1:19" ht="14.25" customHeight="1" x14ac:dyDescent="0.25">
      <c r="A5" s="28"/>
      <c r="B5" s="29" t="s">
        <v>26</v>
      </c>
      <c r="C5" s="30" t="s">
        <v>27</v>
      </c>
      <c r="D5" s="31" t="s">
        <v>22</v>
      </c>
      <c r="E5" s="32" t="s">
        <v>28</v>
      </c>
      <c r="F5" s="33"/>
      <c r="G5" s="33"/>
      <c r="H5" s="34">
        <v>1</v>
      </c>
      <c r="I5" s="35">
        <v>5</v>
      </c>
      <c r="J5" s="35">
        <v>3</v>
      </c>
      <c r="K5" s="35">
        <v>1</v>
      </c>
      <c r="L5" s="36">
        <f t="shared" si="0"/>
        <v>3</v>
      </c>
      <c r="M5" s="37">
        <f t="shared" si="1"/>
        <v>0.66666666666666663</v>
      </c>
      <c r="N5" s="37">
        <f t="shared" si="2"/>
        <v>29.333333333333332</v>
      </c>
      <c r="O5" s="38">
        <v>1</v>
      </c>
      <c r="P5" s="37">
        <f>O5*Presupuesto!$B$5</f>
        <v>16</v>
      </c>
      <c r="Q5" s="25">
        <v>445.74</v>
      </c>
      <c r="R5" s="25">
        <f t="shared" si="3"/>
        <v>13075.039999999999</v>
      </c>
      <c r="S5" s="39">
        <f>SUM(R3:R5)</f>
        <v>96734.623999999996</v>
      </c>
    </row>
    <row r="6" spans="1:19" ht="18" customHeight="1" x14ac:dyDescent="0.25">
      <c r="A6" s="26" t="s">
        <v>29</v>
      </c>
      <c r="B6" s="17" t="s">
        <v>30</v>
      </c>
      <c r="C6" s="18" t="s">
        <v>31</v>
      </c>
      <c r="D6" s="19" t="s">
        <v>22</v>
      </c>
      <c r="E6" s="19" t="s">
        <v>23</v>
      </c>
      <c r="H6" s="27">
        <v>0.5</v>
      </c>
      <c r="I6" s="21">
        <v>15</v>
      </c>
      <c r="J6" s="21">
        <v>22</v>
      </c>
      <c r="K6" s="21">
        <v>14</v>
      </c>
      <c r="L6" s="22">
        <f t="shared" si="0"/>
        <v>19.5</v>
      </c>
      <c r="M6" s="23">
        <f t="shared" si="1"/>
        <v>0.16666666666666666</v>
      </c>
      <c r="N6" s="23">
        <f t="shared" si="2"/>
        <v>157.33333333333334</v>
      </c>
      <c r="O6" s="24">
        <v>0.5</v>
      </c>
      <c r="P6" s="23">
        <f>O6*Presupuesto!$B$5</f>
        <v>8</v>
      </c>
      <c r="Q6" s="25">
        <v>441.86399999999998</v>
      </c>
      <c r="R6" s="25">
        <f t="shared" si="3"/>
        <v>69519.936000000002</v>
      </c>
    </row>
    <row r="7" spans="1:19" ht="14.25" customHeight="1" x14ac:dyDescent="0.25">
      <c r="A7" s="26"/>
      <c r="B7" s="17" t="s">
        <v>32</v>
      </c>
      <c r="C7" s="18" t="s">
        <v>33</v>
      </c>
      <c r="D7" s="19" t="s">
        <v>22</v>
      </c>
      <c r="E7" s="19" t="s">
        <v>23</v>
      </c>
      <c r="H7" s="27">
        <v>0.5</v>
      </c>
      <c r="I7" s="21">
        <v>16</v>
      </c>
      <c r="J7" s="21">
        <v>10</v>
      </c>
      <c r="K7" s="21">
        <v>6</v>
      </c>
      <c r="L7" s="22">
        <f t="shared" si="0"/>
        <v>10.333333333333334</v>
      </c>
      <c r="M7" s="23">
        <f t="shared" si="1"/>
        <v>1.6666666666666667</v>
      </c>
      <c r="N7" s="23">
        <f t="shared" si="2"/>
        <v>96</v>
      </c>
      <c r="O7" s="24">
        <v>0.5</v>
      </c>
      <c r="P7" s="23">
        <f>O7*Presupuesto!$B$5</f>
        <v>8</v>
      </c>
      <c r="Q7" s="25">
        <v>441.86399999999998</v>
      </c>
      <c r="R7" s="25">
        <f t="shared" si="3"/>
        <v>42418.943999999996</v>
      </c>
    </row>
    <row r="8" spans="1:19" ht="14.25" customHeight="1" x14ac:dyDescent="0.25">
      <c r="A8" s="26"/>
      <c r="B8" s="17" t="s">
        <v>34</v>
      </c>
      <c r="C8" s="18" t="s">
        <v>35</v>
      </c>
      <c r="D8" s="19" t="s">
        <v>22</v>
      </c>
      <c r="E8" s="19" t="s">
        <v>23</v>
      </c>
      <c r="H8" s="27">
        <v>0.5</v>
      </c>
      <c r="I8" s="21">
        <v>10</v>
      </c>
      <c r="J8" s="21">
        <v>7</v>
      </c>
      <c r="K8" s="21">
        <v>4</v>
      </c>
      <c r="L8" s="22">
        <f t="shared" si="0"/>
        <v>7</v>
      </c>
      <c r="M8" s="23">
        <f t="shared" si="1"/>
        <v>1</v>
      </c>
      <c r="N8" s="23">
        <f t="shared" si="2"/>
        <v>64</v>
      </c>
      <c r="O8" s="24">
        <v>0.5</v>
      </c>
      <c r="P8" s="23">
        <f>O8*Presupuesto!$B$5</f>
        <v>8</v>
      </c>
      <c r="Q8" s="25">
        <v>441.86399999999998</v>
      </c>
      <c r="R8" s="25">
        <f t="shared" si="3"/>
        <v>28279.295999999998</v>
      </c>
    </row>
    <row r="9" spans="1:19" ht="14.25" customHeight="1" x14ac:dyDescent="0.25">
      <c r="A9" s="28"/>
      <c r="B9" s="29" t="s">
        <v>36</v>
      </c>
      <c r="C9" s="40" t="s">
        <v>37</v>
      </c>
      <c r="D9" s="41" t="s">
        <v>22</v>
      </c>
      <c r="E9" s="42" t="s">
        <v>28</v>
      </c>
      <c r="F9" s="33"/>
      <c r="G9" s="33"/>
      <c r="H9" s="43">
        <v>1</v>
      </c>
      <c r="I9" s="35">
        <v>7</v>
      </c>
      <c r="J9" s="35">
        <v>3</v>
      </c>
      <c r="K9" s="35">
        <v>2</v>
      </c>
      <c r="L9" s="36">
        <f t="shared" si="0"/>
        <v>3.5</v>
      </c>
      <c r="M9" s="37">
        <f t="shared" si="1"/>
        <v>0.83333333333333337</v>
      </c>
      <c r="N9" s="37">
        <f t="shared" si="2"/>
        <v>34.666666666666664</v>
      </c>
      <c r="O9" s="38">
        <v>1</v>
      </c>
      <c r="P9" s="37">
        <f>O9*Presupuesto!$B$5</f>
        <v>16</v>
      </c>
      <c r="Q9" s="25">
        <v>445.74</v>
      </c>
      <c r="R9" s="25">
        <f t="shared" si="3"/>
        <v>15452.32</v>
      </c>
      <c r="S9" s="44">
        <f>SUM(R6:R9)</f>
        <v>155670.49600000001</v>
      </c>
    </row>
    <row r="10" spans="1:19" ht="14.25" customHeight="1" x14ac:dyDescent="0.25">
      <c r="A10" s="26" t="s">
        <v>38</v>
      </c>
      <c r="B10" s="17" t="s">
        <v>39</v>
      </c>
      <c r="C10" s="18" t="s">
        <v>40</v>
      </c>
      <c r="D10" s="45" t="s">
        <v>22</v>
      </c>
      <c r="E10" s="19" t="s">
        <v>23</v>
      </c>
      <c r="H10" s="46">
        <v>0.5</v>
      </c>
      <c r="I10" s="21">
        <v>20</v>
      </c>
      <c r="J10" s="21">
        <v>18</v>
      </c>
      <c r="K10" s="21">
        <v>10</v>
      </c>
      <c r="L10" s="22">
        <f t="shared" si="0"/>
        <v>17</v>
      </c>
      <c r="M10" s="23">
        <f t="shared" si="1"/>
        <v>1.6666666666666667</v>
      </c>
      <c r="N10" s="23">
        <f t="shared" si="2"/>
        <v>149.33333333333334</v>
      </c>
      <c r="O10" s="24">
        <v>0.5</v>
      </c>
      <c r="P10" s="23">
        <f>O10*Presupuesto!$B$5</f>
        <v>8</v>
      </c>
      <c r="Q10" s="25">
        <v>441.86399999999998</v>
      </c>
      <c r="R10" s="25">
        <f t="shared" si="3"/>
        <v>65985.024000000005</v>
      </c>
    </row>
    <row r="11" spans="1:19" ht="14.25" customHeight="1" x14ac:dyDescent="0.25">
      <c r="A11" s="26"/>
      <c r="B11" s="17" t="s">
        <v>41</v>
      </c>
      <c r="C11" s="18" t="s">
        <v>42</v>
      </c>
      <c r="D11" s="19" t="s">
        <v>22</v>
      </c>
      <c r="E11" s="19" t="s">
        <v>23</v>
      </c>
      <c r="H11" s="27">
        <v>0.5</v>
      </c>
      <c r="I11" s="21">
        <v>16</v>
      </c>
      <c r="J11" s="21">
        <v>12</v>
      </c>
      <c r="K11" s="21">
        <v>8</v>
      </c>
      <c r="L11" s="22">
        <f t="shared" si="0"/>
        <v>12</v>
      </c>
      <c r="M11" s="23">
        <f t="shared" si="1"/>
        <v>1.3333333333333333</v>
      </c>
      <c r="N11" s="23">
        <f t="shared" si="2"/>
        <v>106.66666666666667</v>
      </c>
      <c r="O11" s="24">
        <v>0.5</v>
      </c>
      <c r="P11" s="23">
        <f>O11*Presupuesto!$B$5</f>
        <v>8</v>
      </c>
      <c r="Q11" s="25">
        <v>441.86399999999998</v>
      </c>
      <c r="R11" s="25">
        <f t="shared" si="3"/>
        <v>47132.159999999996</v>
      </c>
    </row>
    <row r="12" spans="1:19" ht="14.25" customHeight="1" x14ac:dyDescent="0.25">
      <c r="A12" s="28"/>
      <c r="B12" s="29" t="s">
        <v>43</v>
      </c>
      <c r="C12" s="40" t="s">
        <v>44</v>
      </c>
      <c r="D12" s="31" t="s">
        <v>22</v>
      </c>
      <c r="E12" s="31" t="s">
        <v>23</v>
      </c>
      <c r="F12" s="33"/>
      <c r="G12" s="33"/>
      <c r="H12" s="47">
        <v>0.5</v>
      </c>
      <c r="I12" s="35">
        <v>8</v>
      </c>
      <c r="J12" s="35">
        <v>6</v>
      </c>
      <c r="K12" s="35">
        <v>3</v>
      </c>
      <c r="L12" s="36">
        <f t="shared" si="0"/>
        <v>5.833333333333333</v>
      </c>
      <c r="M12" s="37">
        <f t="shared" si="1"/>
        <v>0.83333333333333337</v>
      </c>
      <c r="N12" s="37">
        <f t="shared" si="2"/>
        <v>53.333333333333329</v>
      </c>
      <c r="O12" s="38">
        <v>0.5</v>
      </c>
      <c r="P12" s="37">
        <f>O12*Presupuesto!$B$5</f>
        <v>8</v>
      </c>
      <c r="Q12" s="25">
        <v>441.86399999999998</v>
      </c>
      <c r="R12" s="25">
        <f t="shared" si="3"/>
        <v>23566.079999999998</v>
      </c>
      <c r="S12" s="44">
        <f>SUM(R10:R12)</f>
        <v>136683.264</v>
      </c>
    </row>
    <row r="13" spans="1:19" ht="14.25" customHeight="1" x14ac:dyDescent="0.25">
      <c r="A13" s="26" t="s">
        <v>45</v>
      </c>
      <c r="B13" s="17" t="s">
        <v>46</v>
      </c>
      <c r="C13" s="18" t="s">
        <v>47</v>
      </c>
      <c r="D13" s="17" t="s">
        <v>22</v>
      </c>
      <c r="E13" s="19" t="s">
        <v>23</v>
      </c>
      <c r="H13" s="27">
        <v>0.5</v>
      </c>
      <c r="I13" s="21">
        <v>40</v>
      </c>
      <c r="J13" s="21">
        <v>28</v>
      </c>
      <c r="K13" s="21">
        <v>16</v>
      </c>
      <c r="L13" s="22">
        <f t="shared" si="0"/>
        <v>28</v>
      </c>
      <c r="M13" s="23">
        <f t="shared" si="1"/>
        <v>4</v>
      </c>
      <c r="N13" s="23">
        <f t="shared" si="2"/>
        <v>256</v>
      </c>
      <c r="O13" s="24">
        <v>0.5</v>
      </c>
      <c r="P13" s="23">
        <f>O13*Presupuesto!$B$5</f>
        <v>8</v>
      </c>
      <c r="Q13" s="25">
        <v>441.86399999999998</v>
      </c>
      <c r="R13" s="25">
        <f t="shared" si="3"/>
        <v>113117.18399999999</v>
      </c>
    </row>
    <row r="14" spans="1:19" ht="14.25" customHeight="1" x14ac:dyDescent="0.25">
      <c r="A14" s="26"/>
      <c r="B14" s="17" t="s">
        <v>48</v>
      </c>
      <c r="C14" s="18" t="s">
        <v>49</v>
      </c>
      <c r="D14" s="19" t="s">
        <v>22</v>
      </c>
      <c r="E14" s="19" t="s">
        <v>23</v>
      </c>
      <c r="H14" s="27">
        <v>0.5</v>
      </c>
      <c r="I14" s="21">
        <v>20</v>
      </c>
      <c r="J14" s="21">
        <v>14</v>
      </c>
      <c r="K14" s="21">
        <v>8</v>
      </c>
      <c r="L14" s="22">
        <f t="shared" si="0"/>
        <v>14</v>
      </c>
      <c r="M14" s="23">
        <f t="shared" si="1"/>
        <v>2</v>
      </c>
      <c r="N14" s="23">
        <f t="shared" si="2"/>
        <v>128</v>
      </c>
      <c r="O14" s="24">
        <v>0.5</v>
      </c>
      <c r="P14" s="23">
        <f>O14*Presupuesto!$B$5</f>
        <v>8</v>
      </c>
      <c r="Q14" s="25">
        <v>441.86399999999998</v>
      </c>
      <c r="R14" s="25">
        <f t="shared" si="3"/>
        <v>56558.591999999997</v>
      </c>
    </row>
    <row r="15" spans="1:19" ht="14.25" customHeight="1" x14ac:dyDescent="0.25">
      <c r="A15" s="28"/>
      <c r="B15" s="29" t="s">
        <v>50</v>
      </c>
      <c r="C15" s="40" t="s">
        <v>51</v>
      </c>
      <c r="D15" s="31" t="s">
        <v>22</v>
      </c>
      <c r="E15" s="31" t="s">
        <v>23</v>
      </c>
      <c r="F15" s="33"/>
      <c r="G15" s="33"/>
      <c r="H15" s="47">
        <v>0.5</v>
      </c>
      <c r="I15" s="35">
        <v>12</v>
      </c>
      <c r="J15" s="35">
        <v>8</v>
      </c>
      <c r="K15" s="35">
        <v>4</v>
      </c>
      <c r="L15" s="36">
        <f t="shared" si="0"/>
        <v>8</v>
      </c>
      <c r="M15" s="37">
        <f t="shared" si="1"/>
        <v>1.3333333333333333</v>
      </c>
      <c r="N15" s="37">
        <f t="shared" si="2"/>
        <v>74.666666666666671</v>
      </c>
      <c r="O15" s="38">
        <v>0.5</v>
      </c>
      <c r="P15" s="37">
        <f>O15*Presupuesto!$B$5</f>
        <v>8</v>
      </c>
      <c r="Q15" s="25">
        <v>441.86399999999998</v>
      </c>
      <c r="R15" s="25">
        <f t="shared" si="3"/>
        <v>32992.512000000002</v>
      </c>
      <c r="S15" s="44">
        <f>SUM(R13:R15)</f>
        <v>202668.288</v>
      </c>
    </row>
    <row r="16" spans="1:19" ht="14.25" customHeight="1" x14ac:dyDescent="0.25">
      <c r="A16" s="26" t="s">
        <v>52</v>
      </c>
      <c r="B16" s="48" t="s">
        <v>53</v>
      </c>
      <c r="C16" s="49" t="s">
        <v>54</v>
      </c>
      <c r="D16" s="50" t="s">
        <v>22</v>
      </c>
      <c r="E16" s="50" t="s">
        <v>23</v>
      </c>
      <c r="H16" s="51">
        <v>0.5</v>
      </c>
      <c r="I16" s="21">
        <v>16</v>
      </c>
      <c r="J16" s="21">
        <v>12</v>
      </c>
      <c r="K16" s="21">
        <v>6</v>
      </c>
      <c r="L16" s="22">
        <f t="shared" si="0"/>
        <v>11.666666666666666</v>
      </c>
      <c r="M16" s="23">
        <f t="shared" si="1"/>
        <v>1.6666666666666667</v>
      </c>
      <c r="N16" s="23">
        <f t="shared" si="2"/>
        <v>106.66666666666666</v>
      </c>
      <c r="O16" s="24">
        <v>0.5</v>
      </c>
      <c r="P16" s="23">
        <f>O16*Presupuesto!$B$5</f>
        <v>8</v>
      </c>
      <c r="Q16" s="25">
        <v>441.86399999999998</v>
      </c>
      <c r="R16" s="25">
        <f t="shared" si="3"/>
        <v>47132.159999999996</v>
      </c>
    </row>
    <row r="17" spans="1:19" ht="14.25" customHeight="1" x14ac:dyDescent="0.25">
      <c r="A17" s="52"/>
      <c r="B17" s="17" t="s">
        <v>55</v>
      </c>
      <c r="C17" s="18" t="s">
        <v>56</v>
      </c>
      <c r="D17" s="19" t="s">
        <v>22</v>
      </c>
      <c r="E17" s="19" t="s">
        <v>23</v>
      </c>
      <c r="H17" s="27">
        <v>0.5</v>
      </c>
      <c r="I17" s="21">
        <v>14</v>
      </c>
      <c r="J17" s="21">
        <v>10</v>
      </c>
      <c r="K17" s="21">
        <v>6</v>
      </c>
      <c r="L17" s="22">
        <f t="shared" si="0"/>
        <v>10</v>
      </c>
      <c r="M17" s="23">
        <f t="shared" si="1"/>
        <v>1.3333333333333333</v>
      </c>
      <c r="N17" s="23">
        <f t="shared" si="2"/>
        <v>90.666666666666671</v>
      </c>
      <c r="O17" s="24">
        <v>0.5</v>
      </c>
      <c r="P17" s="23">
        <f>O17*Presupuesto!$B$5</f>
        <v>8</v>
      </c>
      <c r="Q17" s="25">
        <v>441.86399999999998</v>
      </c>
      <c r="R17" s="25">
        <f t="shared" si="3"/>
        <v>40062.336000000003</v>
      </c>
      <c r="S17" s="53"/>
    </row>
    <row r="18" spans="1:19" ht="14.25" customHeight="1" x14ac:dyDescent="0.25">
      <c r="A18" s="26"/>
      <c r="B18" s="17" t="s">
        <v>57</v>
      </c>
      <c r="C18" s="18" t="s">
        <v>58</v>
      </c>
      <c r="D18" s="19" t="s">
        <v>22</v>
      </c>
      <c r="E18" s="19" t="s">
        <v>23</v>
      </c>
      <c r="H18" s="27">
        <v>0.5</v>
      </c>
      <c r="I18" s="21">
        <v>18</v>
      </c>
      <c r="J18" s="21">
        <v>13</v>
      </c>
      <c r="K18" s="21">
        <v>8</v>
      </c>
      <c r="L18" s="22">
        <f t="shared" si="0"/>
        <v>13</v>
      </c>
      <c r="M18" s="23">
        <f t="shared" si="1"/>
        <v>1.6666666666666667</v>
      </c>
      <c r="N18" s="23">
        <f t="shared" si="2"/>
        <v>117.33333333333333</v>
      </c>
      <c r="O18" s="24">
        <v>0.5</v>
      </c>
      <c r="P18" s="23">
        <f>O18*Presupuesto!$B$5</f>
        <v>8</v>
      </c>
      <c r="Q18" s="25">
        <v>441.86399999999998</v>
      </c>
      <c r="R18" s="25">
        <f t="shared" si="3"/>
        <v>51845.375999999997</v>
      </c>
    </row>
    <row r="19" spans="1:19" ht="14.25" customHeight="1" x14ac:dyDescent="0.25">
      <c r="A19" s="28"/>
      <c r="B19" s="29" t="s">
        <v>59</v>
      </c>
      <c r="C19" s="40" t="s">
        <v>60</v>
      </c>
      <c r="D19" s="31" t="s">
        <v>22</v>
      </c>
      <c r="E19" s="31" t="s">
        <v>23</v>
      </c>
      <c r="F19" s="33"/>
      <c r="G19" s="33"/>
      <c r="H19" s="47">
        <v>0.5</v>
      </c>
      <c r="I19" s="35">
        <v>16</v>
      </c>
      <c r="J19" s="35">
        <v>11</v>
      </c>
      <c r="K19" s="35">
        <v>6</v>
      </c>
      <c r="L19" s="36">
        <f t="shared" si="0"/>
        <v>11</v>
      </c>
      <c r="M19" s="37">
        <f t="shared" si="1"/>
        <v>1.6666666666666667</v>
      </c>
      <c r="N19" s="37">
        <f t="shared" si="2"/>
        <v>101.33333333333333</v>
      </c>
      <c r="O19" s="38">
        <v>0.5</v>
      </c>
      <c r="P19" s="37">
        <f>O19*Presupuesto!$B$5</f>
        <v>8</v>
      </c>
      <c r="Q19" s="25">
        <v>441.86399999999998</v>
      </c>
      <c r="R19" s="25">
        <f t="shared" si="3"/>
        <v>44775.551999999996</v>
      </c>
      <c r="S19" s="44">
        <f>SUM(R16:R19)</f>
        <v>183815.424</v>
      </c>
    </row>
    <row r="20" spans="1:19" ht="14.25" customHeight="1" x14ac:dyDescent="0.25">
      <c r="A20" s="26" t="s">
        <v>61</v>
      </c>
      <c r="B20" s="17" t="s">
        <v>62</v>
      </c>
      <c r="C20" s="18" t="s">
        <v>63</v>
      </c>
      <c r="D20" s="19" t="s">
        <v>22</v>
      </c>
      <c r="E20" s="19" t="s">
        <v>23</v>
      </c>
      <c r="H20" s="27">
        <v>0.5</v>
      </c>
      <c r="I20" s="21">
        <v>14</v>
      </c>
      <c r="J20" s="21">
        <v>10</v>
      </c>
      <c r="K20" s="21">
        <v>6</v>
      </c>
      <c r="L20" s="22">
        <f t="shared" si="0"/>
        <v>10</v>
      </c>
      <c r="M20" s="23">
        <f t="shared" si="1"/>
        <v>1.3333333333333333</v>
      </c>
      <c r="N20" s="23">
        <f t="shared" si="2"/>
        <v>90.666666666666671</v>
      </c>
      <c r="O20" s="24">
        <v>0.5</v>
      </c>
      <c r="P20" s="23">
        <f>O20*Presupuesto!$B$5</f>
        <v>8</v>
      </c>
      <c r="Q20" s="25">
        <v>441.86399999999998</v>
      </c>
      <c r="R20" s="25">
        <f t="shared" si="3"/>
        <v>40062.336000000003</v>
      </c>
    </row>
    <row r="21" spans="1:19" ht="15.75" customHeight="1" x14ac:dyDescent="0.25">
      <c r="A21" s="26"/>
      <c r="B21" s="17" t="s">
        <v>64</v>
      </c>
      <c r="C21" s="18" t="s">
        <v>65</v>
      </c>
      <c r="D21" s="19" t="s">
        <v>22</v>
      </c>
      <c r="E21" s="19" t="s">
        <v>23</v>
      </c>
      <c r="H21" s="27">
        <v>0.5</v>
      </c>
      <c r="I21" s="21">
        <v>16</v>
      </c>
      <c r="J21" s="21">
        <v>11</v>
      </c>
      <c r="K21" s="21">
        <v>6</v>
      </c>
      <c r="L21" s="22">
        <f t="shared" si="0"/>
        <v>11</v>
      </c>
      <c r="M21" s="23">
        <f t="shared" si="1"/>
        <v>1.6666666666666667</v>
      </c>
      <c r="N21" s="23">
        <f t="shared" si="2"/>
        <v>101.33333333333333</v>
      </c>
      <c r="O21" s="24">
        <v>0.5</v>
      </c>
      <c r="P21" s="23">
        <f>O21*Presupuesto!$B$5</f>
        <v>8</v>
      </c>
      <c r="Q21" s="25">
        <v>441.86399999999998</v>
      </c>
      <c r="R21" s="25">
        <f t="shared" si="3"/>
        <v>44775.551999999996</v>
      </c>
    </row>
    <row r="22" spans="1:19" ht="15.75" customHeight="1" x14ac:dyDescent="0.25">
      <c r="A22" s="26"/>
      <c r="B22" s="17" t="s">
        <v>66</v>
      </c>
      <c r="C22" s="18" t="s">
        <v>67</v>
      </c>
      <c r="D22" s="19" t="s">
        <v>22</v>
      </c>
      <c r="E22" s="19" t="s">
        <v>23</v>
      </c>
      <c r="H22" s="27">
        <v>0.5</v>
      </c>
      <c r="I22" s="21">
        <v>10</v>
      </c>
      <c r="J22" s="21">
        <v>7</v>
      </c>
      <c r="K22" s="21">
        <v>4</v>
      </c>
      <c r="L22" s="22">
        <f t="shared" si="0"/>
        <v>7</v>
      </c>
      <c r="M22" s="23">
        <f t="shared" si="1"/>
        <v>1</v>
      </c>
      <c r="N22" s="23">
        <f t="shared" si="2"/>
        <v>64</v>
      </c>
      <c r="O22" s="24">
        <v>0.5</v>
      </c>
      <c r="P22" s="23">
        <f>O22*Presupuesto!$B$5</f>
        <v>8</v>
      </c>
      <c r="Q22" s="25">
        <v>441.86399999999998</v>
      </c>
      <c r="R22" s="25">
        <f t="shared" si="3"/>
        <v>28279.295999999998</v>
      </c>
    </row>
    <row r="23" spans="1:19" ht="15.75" customHeight="1" x14ac:dyDescent="0.25">
      <c r="A23" s="28"/>
      <c r="B23" s="29" t="s">
        <v>68</v>
      </c>
      <c r="C23" s="40" t="s">
        <v>69</v>
      </c>
      <c r="D23" s="31" t="s">
        <v>22</v>
      </c>
      <c r="E23" s="31" t="s">
        <v>23</v>
      </c>
      <c r="F23" s="33"/>
      <c r="G23" s="33"/>
      <c r="H23" s="47">
        <v>0.5</v>
      </c>
      <c r="I23" s="35">
        <v>12</v>
      </c>
      <c r="J23" s="35">
        <v>8</v>
      </c>
      <c r="K23" s="35">
        <v>4</v>
      </c>
      <c r="L23" s="36">
        <f t="shared" si="0"/>
        <v>8</v>
      </c>
      <c r="M23" s="37">
        <f t="shared" si="1"/>
        <v>1.3333333333333333</v>
      </c>
      <c r="N23" s="37">
        <f t="shared" si="2"/>
        <v>74.666666666666671</v>
      </c>
      <c r="O23" s="38">
        <v>0.5</v>
      </c>
      <c r="P23" s="37">
        <f>O23*Presupuesto!$B$5</f>
        <v>8</v>
      </c>
      <c r="Q23" s="25">
        <v>441.86399999999998</v>
      </c>
      <c r="R23" s="25">
        <f t="shared" si="3"/>
        <v>32992.512000000002</v>
      </c>
      <c r="S23" s="44">
        <f>SUM(R20:R23)</f>
        <v>146109.696</v>
      </c>
    </row>
    <row r="24" spans="1:19" ht="21" customHeight="1" x14ac:dyDescent="0.25">
      <c r="A24" s="26" t="s">
        <v>70</v>
      </c>
      <c r="B24" s="17" t="s">
        <v>71</v>
      </c>
      <c r="C24" s="18" t="s">
        <v>72</v>
      </c>
      <c r="D24" s="19" t="s">
        <v>22</v>
      </c>
      <c r="E24" s="19" t="s">
        <v>23</v>
      </c>
      <c r="H24" s="27">
        <v>0.5</v>
      </c>
      <c r="I24" s="21">
        <v>20</v>
      </c>
      <c r="J24" s="21">
        <v>14</v>
      </c>
      <c r="K24" s="21">
        <v>8</v>
      </c>
      <c r="L24" s="22">
        <f t="shared" si="0"/>
        <v>14</v>
      </c>
      <c r="M24" s="23">
        <f t="shared" si="1"/>
        <v>2</v>
      </c>
      <c r="N24" s="23">
        <f t="shared" si="2"/>
        <v>128</v>
      </c>
      <c r="O24" s="24">
        <v>0.5</v>
      </c>
      <c r="P24" s="23">
        <f>O24*Presupuesto!$B$5</f>
        <v>8</v>
      </c>
      <c r="Q24" s="25">
        <v>441.86399999999998</v>
      </c>
      <c r="R24" s="25">
        <f t="shared" si="3"/>
        <v>56558.591999999997</v>
      </c>
    </row>
    <row r="25" spans="1:19" ht="21" customHeight="1" x14ac:dyDescent="0.25">
      <c r="A25" s="28"/>
      <c r="B25" s="29" t="s">
        <v>73</v>
      </c>
      <c r="C25" s="40" t="s">
        <v>74</v>
      </c>
      <c r="D25" s="31" t="s">
        <v>22</v>
      </c>
      <c r="E25" s="31" t="s">
        <v>23</v>
      </c>
      <c r="F25" s="33"/>
      <c r="G25" s="33"/>
      <c r="H25" s="47">
        <v>0.5</v>
      </c>
      <c r="I25" s="35">
        <v>12</v>
      </c>
      <c r="J25" s="35">
        <v>8</v>
      </c>
      <c r="K25" s="35">
        <v>4</v>
      </c>
      <c r="L25" s="36">
        <f t="shared" si="0"/>
        <v>8</v>
      </c>
      <c r="M25" s="37">
        <f t="shared" si="1"/>
        <v>1.3333333333333333</v>
      </c>
      <c r="N25" s="37">
        <f t="shared" si="2"/>
        <v>74.666666666666671</v>
      </c>
      <c r="O25" s="38">
        <v>0.5</v>
      </c>
      <c r="P25" s="37">
        <f>O25*Presupuesto!$B$5</f>
        <v>8</v>
      </c>
      <c r="Q25" s="25">
        <v>441.86399999999998</v>
      </c>
      <c r="R25" s="25">
        <f t="shared" si="3"/>
        <v>32992.512000000002</v>
      </c>
      <c r="S25" s="44">
        <f>SUM(R24:R25)</f>
        <v>89551.103999999992</v>
      </c>
    </row>
    <row r="26" spans="1:19" ht="21.75" customHeight="1" x14ac:dyDescent="0.25">
      <c r="A26" s="26" t="s">
        <v>75</v>
      </c>
      <c r="B26" s="17" t="s">
        <v>76</v>
      </c>
      <c r="C26" s="18" t="s">
        <v>77</v>
      </c>
      <c r="D26" s="19" t="s">
        <v>22</v>
      </c>
      <c r="E26" s="19" t="s">
        <v>78</v>
      </c>
      <c r="H26" s="27">
        <v>1</v>
      </c>
      <c r="I26" s="21">
        <v>25</v>
      </c>
      <c r="J26" s="21">
        <v>20</v>
      </c>
      <c r="K26" s="21">
        <v>10</v>
      </c>
      <c r="L26" s="22">
        <f t="shared" si="0"/>
        <v>19.166666666666668</v>
      </c>
      <c r="M26" s="23">
        <f t="shared" si="1"/>
        <v>2.5</v>
      </c>
      <c r="N26" s="23">
        <f t="shared" si="2"/>
        <v>173.33333333333334</v>
      </c>
      <c r="O26" s="24">
        <v>1</v>
      </c>
      <c r="P26" s="23">
        <f>O26*Presupuesto!$B$5</f>
        <v>16</v>
      </c>
      <c r="Q26" s="25">
        <v>733.53300000000002</v>
      </c>
      <c r="R26" s="25">
        <f t="shared" si="3"/>
        <v>127145.72000000002</v>
      </c>
    </row>
    <row r="27" spans="1:19" ht="15.75" customHeight="1" x14ac:dyDescent="0.25">
      <c r="B27" s="17" t="s">
        <v>79</v>
      </c>
      <c r="C27" s="18" t="s">
        <v>80</v>
      </c>
      <c r="D27" s="19" t="s">
        <v>22</v>
      </c>
      <c r="E27" s="19" t="s">
        <v>28</v>
      </c>
      <c r="H27" s="27">
        <v>1</v>
      </c>
      <c r="I27" s="21">
        <v>10</v>
      </c>
      <c r="J27" s="21">
        <v>9</v>
      </c>
      <c r="K27" s="21">
        <v>7</v>
      </c>
      <c r="L27" s="22">
        <f t="shared" si="0"/>
        <v>8.8333333333333339</v>
      </c>
      <c r="M27" s="23">
        <f t="shared" si="1"/>
        <v>0.5</v>
      </c>
      <c r="N27" s="23">
        <f t="shared" si="2"/>
        <v>74.666666666666671</v>
      </c>
      <c r="O27" s="24">
        <v>1</v>
      </c>
      <c r="P27" s="23">
        <f>O27*Presupuesto!$B$5</f>
        <v>16</v>
      </c>
      <c r="Q27" s="25">
        <v>445.74</v>
      </c>
      <c r="R27" s="25">
        <f t="shared" si="3"/>
        <v>33281.920000000006</v>
      </c>
    </row>
    <row r="28" spans="1:19" ht="15.75" customHeight="1" x14ac:dyDescent="0.25">
      <c r="A28" s="33"/>
      <c r="B28" s="29"/>
      <c r="C28" s="29"/>
      <c r="D28" s="31"/>
      <c r="E28" s="31"/>
      <c r="F28" s="33"/>
      <c r="G28" s="33"/>
      <c r="H28" s="47"/>
      <c r="I28" s="35"/>
      <c r="J28" s="35"/>
      <c r="K28" s="35"/>
      <c r="L28" s="35"/>
      <c r="M28" s="37"/>
      <c r="N28" s="37"/>
      <c r="O28" s="38"/>
      <c r="P28" s="37"/>
      <c r="Q28" s="25"/>
      <c r="R28" s="54"/>
      <c r="S28" s="55">
        <f>SUM(R26:R27)</f>
        <v>160427.64000000001</v>
      </c>
    </row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P1"/>
    <mergeCell ref="Q1:S1"/>
  </mergeCells>
  <pageMargins left="0.70833333333333304" right="0.70833333333333304" top="0.74791666666666701" bottom="0.7479166666666670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topLeftCell="A27" zoomScaleNormal="100" workbookViewId="0">
      <selection activeCell="F27" sqref="F27"/>
    </sheetView>
  </sheetViews>
  <sheetFormatPr baseColWidth="10" defaultColWidth="14.42578125" defaultRowHeight="15" x14ac:dyDescent="0.25"/>
  <cols>
    <col min="1" max="1" width="22.42578125" customWidth="1"/>
    <col min="2" max="2" width="20.7109375" customWidth="1"/>
    <col min="3" max="3" width="27" customWidth="1"/>
    <col min="4" max="4" width="20.42578125" customWidth="1"/>
    <col min="5" max="5" width="14.5703125" customWidth="1"/>
    <col min="6" max="6" width="16.140625" customWidth="1"/>
    <col min="7" max="7" width="18.5703125" customWidth="1"/>
    <col min="8" max="10" width="10.7109375" customWidth="1"/>
  </cols>
  <sheetData>
    <row r="1" spans="1:7" ht="28.5" customHeight="1" x14ac:dyDescent="0.25">
      <c r="A1" s="5" t="s">
        <v>81</v>
      </c>
      <c r="B1" s="5"/>
      <c r="C1" s="5"/>
      <c r="D1" s="5"/>
      <c r="E1" s="4" t="s">
        <v>1</v>
      </c>
      <c r="F1" s="4"/>
      <c r="G1" s="4"/>
    </row>
    <row r="2" spans="1:7" ht="75.75" customHeight="1" x14ac:dyDescent="0.25">
      <c r="A2" s="9" t="s">
        <v>2</v>
      </c>
      <c r="B2" s="10" t="s">
        <v>82</v>
      </c>
      <c r="C2" s="11" t="s">
        <v>4</v>
      </c>
      <c r="D2" s="11" t="s">
        <v>83</v>
      </c>
      <c r="E2" s="14" t="s">
        <v>84</v>
      </c>
      <c r="F2" s="14" t="s">
        <v>17</v>
      </c>
      <c r="G2" s="15" t="s">
        <v>85</v>
      </c>
    </row>
    <row r="3" spans="1:7" ht="56.25" customHeight="1" x14ac:dyDescent="0.25">
      <c r="A3" s="56" t="s">
        <v>19</v>
      </c>
      <c r="B3" s="135" t="s">
        <v>86</v>
      </c>
      <c r="C3" s="57" t="s">
        <v>87</v>
      </c>
      <c r="D3" s="58">
        <v>3</v>
      </c>
      <c r="E3" s="59">
        <v>858358</v>
      </c>
      <c r="F3" s="25">
        <f>E3*D3</f>
        <v>2575074</v>
      </c>
    </row>
    <row r="4" spans="1:7" ht="50.25" customHeight="1" x14ac:dyDescent="0.25">
      <c r="A4" s="60"/>
      <c r="B4" s="137"/>
      <c r="C4" s="57" t="s">
        <v>88</v>
      </c>
      <c r="D4" s="58">
        <v>2</v>
      </c>
      <c r="E4" s="59">
        <v>858358</v>
      </c>
      <c r="F4" s="25">
        <f>E4*D4</f>
        <v>1716716</v>
      </c>
    </row>
    <row r="5" spans="1:7" ht="38.25" customHeight="1" x14ac:dyDescent="0.25">
      <c r="A5" s="60"/>
      <c r="B5" s="138"/>
      <c r="C5" s="57" t="s">
        <v>89</v>
      </c>
      <c r="D5" s="58">
        <v>2</v>
      </c>
      <c r="E5" s="59">
        <v>858358</v>
      </c>
      <c r="F5" s="25">
        <f>E5*D5</f>
        <v>1716716</v>
      </c>
      <c r="G5" s="23">
        <f>SUM(F3:F5)</f>
        <v>6008506</v>
      </c>
    </row>
    <row r="6" spans="1:7" ht="41.25" customHeight="1" x14ac:dyDescent="0.25">
      <c r="A6" s="60" t="s">
        <v>29</v>
      </c>
      <c r="B6" s="135" t="s">
        <v>90</v>
      </c>
      <c r="C6" s="57" t="s">
        <v>91</v>
      </c>
      <c r="D6" s="58">
        <v>5</v>
      </c>
      <c r="E6" s="59">
        <v>858358</v>
      </c>
      <c r="F6" s="25">
        <f>E6*D6</f>
        <v>4291790</v>
      </c>
    </row>
    <row r="7" spans="1:7" ht="39.75" customHeight="1" x14ac:dyDescent="0.25">
      <c r="A7" s="60"/>
      <c r="B7" s="135"/>
      <c r="C7" s="57" t="s">
        <v>92</v>
      </c>
      <c r="D7" s="58">
        <v>3</v>
      </c>
      <c r="E7" s="59">
        <v>858358</v>
      </c>
      <c r="F7" s="25">
        <f>E7*D7</f>
        <v>2575074</v>
      </c>
    </row>
    <row r="8" spans="1:7" ht="38.25" customHeight="1" x14ac:dyDescent="0.25">
      <c r="A8" s="60"/>
      <c r="B8" s="135"/>
      <c r="C8" s="57" t="s">
        <v>93</v>
      </c>
      <c r="D8" s="58">
        <v>3</v>
      </c>
      <c r="E8" s="59">
        <v>858358</v>
      </c>
      <c r="F8" s="65">
        <f>E8*D8</f>
        <v>2575074</v>
      </c>
    </row>
    <row r="9" spans="1:7" ht="51.75" customHeight="1" x14ac:dyDescent="0.25">
      <c r="A9" s="60"/>
      <c r="B9" s="135" t="s">
        <v>94</v>
      </c>
      <c r="C9" s="57" t="s">
        <v>95</v>
      </c>
      <c r="D9" s="58">
        <v>5</v>
      </c>
      <c r="E9" s="59">
        <v>858358</v>
      </c>
      <c r="F9" s="25">
        <f>E9*D9</f>
        <v>4291790</v>
      </c>
      <c r="G9" s="146">
        <f>SUM(F6:F9)</f>
        <v>13733728</v>
      </c>
    </row>
    <row r="10" spans="1:7" ht="41.25" customHeight="1" x14ac:dyDescent="0.25">
      <c r="A10" s="60" t="s">
        <v>96</v>
      </c>
      <c r="B10" s="135" t="s">
        <v>97</v>
      </c>
      <c r="C10" s="57" t="s">
        <v>98</v>
      </c>
      <c r="D10" s="58">
        <v>5</v>
      </c>
      <c r="E10" s="59">
        <v>858358</v>
      </c>
      <c r="F10" s="145">
        <f>E10*D10</f>
        <v>4291790</v>
      </c>
    </row>
    <row r="11" spans="1:7" ht="39" customHeight="1" x14ac:dyDescent="0.25">
      <c r="A11" s="60"/>
      <c r="B11" s="135"/>
      <c r="C11" s="57" t="s">
        <v>99</v>
      </c>
      <c r="D11" s="58">
        <v>5</v>
      </c>
      <c r="E11" s="59">
        <v>858358</v>
      </c>
      <c r="F11" s="25">
        <f>E11*D11</f>
        <v>4291790</v>
      </c>
    </row>
    <row r="12" spans="1:7" ht="39.75" customHeight="1" x14ac:dyDescent="0.25">
      <c r="A12" s="60"/>
      <c r="B12" s="135"/>
      <c r="C12" s="57" t="s">
        <v>100</v>
      </c>
      <c r="D12" s="58">
        <v>2</v>
      </c>
      <c r="E12" s="59">
        <v>858358</v>
      </c>
      <c r="F12" s="25">
        <f>E12*D12</f>
        <v>1716716</v>
      </c>
      <c r="G12" s="147">
        <f>SUM(F10:F12)</f>
        <v>10300296</v>
      </c>
    </row>
    <row r="13" spans="1:7" ht="37.5" customHeight="1" x14ac:dyDescent="0.25">
      <c r="A13" s="60" t="s">
        <v>45</v>
      </c>
      <c r="B13" s="135" t="s">
        <v>101</v>
      </c>
      <c r="C13" s="57" t="s">
        <v>102</v>
      </c>
      <c r="D13" s="58">
        <v>13</v>
      </c>
      <c r="E13" s="59">
        <v>858358</v>
      </c>
      <c r="F13" s="25">
        <f>E13*D13</f>
        <v>11158654</v>
      </c>
    </row>
    <row r="14" spans="1:7" ht="35.25" customHeight="1" x14ac:dyDescent="0.25">
      <c r="A14" s="60"/>
      <c r="B14" s="135"/>
      <c r="C14" s="57" t="s">
        <v>103</v>
      </c>
      <c r="D14" s="58">
        <v>13</v>
      </c>
      <c r="E14" s="59">
        <v>858358</v>
      </c>
      <c r="F14" s="25">
        <f>E14*D14</f>
        <v>11158654</v>
      </c>
    </row>
    <row r="15" spans="1:7" ht="42" customHeight="1" x14ac:dyDescent="0.25">
      <c r="A15" s="60"/>
      <c r="B15" s="136"/>
      <c r="C15" s="62" t="s">
        <v>104</v>
      </c>
      <c r="D15" s="63">
        <v>8</v>
      </c>
      <c r="E15" s="59">
        <v>858358</v>
      </c>
      <c r="F15" s="25">
        <f>E15*D15</f>
        <v>6866864</v>
      </c>
      <c r="G15" s="147">
        <f>SUM(F13:F15)</f>
        <v>29184172</v>
      </c>
    </row>
    <row r="16" spans="1:7" ht="51" customHeight="1" x14ac:dyDescent="0.25">
      <c r="A16" s="64" t="s">
        <v>52</v>
      </c>
      <c r="B16" s="135" t="s">
        <v>105</v>
      </c>
      <c r="C16" s="57" t="s">
        <v>106</v>
      </c>
      <c r="D16" s="58">
        <v>3</v>
      </c>
      <c r="E16" s="59">
        <v>858358</v>
      </c>
      <c r="F16" s="25">
        <f>E16*D16</f>
        <v>2575074</v>
      </c>
    </row>
    <row r="17" spans="1:7" ht="39" customHeight="1" x14ac:dyDescent="0.25">
      <c r="A17" s="60"/>
      <c r="B17" s="135"/>
      <c r="C17" s="57" t="s">
        <v>107</v>
      </c>
      <c r="D17" s="58">
        <v>5</v>
      </c>
      <c r="E17" s="59">
        <v>858358</v>
      </c>
      <c r="F17" s="25">
        <f>E17*D17</f>
        <v>4291790</v>
      </c>
    </row>
    <row r="18" spans="1:7" ht="40.5" customHeight="1" x14ac:dyDescent="0.25">
      <c r="A18" s="60"/>
      <c r="B18" s="135"/>
      <c r="C18" s="57" t="s">
        <v>108</v>
      </c>
      <c r="D18" s="58">
        <v>5</v>
      </c>
      <c r="E18" s="59">
        <v>858358</v>
      </c>
      <c r="F18" s="25">
        <f>E18*D18</f>
        <v>4291790</v>
      </c>
      <c r="G18" s="140"/>
    </row>
    <row r="19" spans="1:7" ht="44.25" customHeight="1" x14ac:dyDescent="0.25">
      <c r="A19" s="60"/>
      <c r="B19" s="135"/>
      <c r="C19" s="57" t="s">
        <v>109</v>
      </c>
      <c r="D19" s="58">
        <v>8</v>
      </c>
      <c r="E19" s="59">
        <v>858358</v>
      </c>
      <c r="F19" s="25">
        <f>E19*D19</f>
        <v>6866864</v>
      </c>
      <c r="G19" s="141"/>
    </row>
    <row r="20" spans="1:7" ht="35.25" customHeight="1" x14ac:dyDescent="0.25">
      <c r="A20" s="60"/>
      <c r="B20" s="135"/>
      <c r="C20" s="57" t="s">
        <v>110</v>
      </c>
      <c r="D20" s="58">
        <v>5</v>
      </c>
      <c r="E20" s="59">
        <v>858358</v>
      </c>
      <c r="F20" s="25">
        <f>E20*D20</f>
        <v>4291790</v>
      </c>
      <c r="G20" s="140"/>
    </row>
    <row r="21" spans="1:7" ht="39" customHeight="1" x14ac:dyDescent="0.25">
      <c r="A21" s="60"/>
      <c r="B21" s="135"/>
      <c r="C21" s="57" t="s">
        <v>111</v>
      </c>
      <c r="D21" s="58">
        <v>3</v>
      </c>
      <c r="E21" s="59">
        <v>858358</v>
      </c>
      <c r="F21" s="25">
        <f>E21*D21</f>
        <v>2575074</v>
      </c>
    </row>
    <row r="22" spans="1:7" ht="42" customHeight="1" x14ac:dyDescent="0.25">
      <c r="A22" s="60"/>
      <c r="B22" s="135"/>
      <c r="C22" s="57" t="s">
        <v>112</v>
      </c>
      <c r="D22" s="58">
        <v>5</v>
      </c>
      <c r="E22" s="59">
        <v>858358</v>
      </c>
      <c r="F22" s="25">
        <f>E22*D22</f>
        <v>4291790</v>
      </c>
      <c r="G22" s="147">
        <f>SUM(F16:F22)</f>
        <v>29184172</v>
      </c>
    </row>
    <row r="23" spans="1:7" ht="35.25" customHeight="1" x14ac:dyDescent="0.25">
      <c r="A23" s="60" t="s">
        <v>70</v>
      </c>
      <c r="B23" s="135" t="s">
        <v>113</v>
      </c>
      <c r="C23" s="57" t="s">
        <v>114</v>
      </c>
      <c r="D23" s="58">
        <v>8</v>
      </c>
      <c r="E23" s="59">
        <v>858358</v>
      </c>
      <c r="F23" s="25">
        <f>E23*D23</f>
        <v>6866864</v>
      </c>
    </row>
    <row r="24" spans="1:7" ht="40.5" customHeight="1" x14ac:dyDescent="0.25">
      <c r="B24" s="136"/>
      <c r="C24" s="62" t="s">
        <v>115</v>
      </c>
      <c r="D24" s="63">
        <v>3</v>
      </c>
      <c r="E24" s="59">
        <v>858358</v>
      </c>
      <c r="F24" s="65">
        <f>E24*D24</f>
        <v>2575074</v>
      </c>
      <c r="G24" s="148">
        <f>SUM(F23:F24)</f>
        <v>9441938</v>
      </c>
    </row>
    <row r="25" spans="1:7" ht="39" customHeight="1" x14ac:dyDescent="0.25">
      <c r="A25" s="60" t="s">
        <v>117</v>
      </c>
      <c r="B25" s="135" t="s">
        <v>118</v>
      </c>
      <c r="C25" s="57" t="s">
        <v>119</v>
      </c>
      <c r="D25" s="58">
        <v>8</v>
      </c>
      <c r="E25" s="59">
        <v>858358</v>
      </c>
      <c r="F25" s="25">
        <f>E25*D25</f>
        <v>6866864</v>
      </c>
      <c r="G25" s="61"/>
    </row>
    <row r="26" spans="1:7" ht="50.25" customHeight="1" x14ac:dyDescent="0.25">
      <c r="A26" s="60"/>
      <c r="B26" s="135"/>
      <c r="C26" s="57" t="s">
        <v>120</v>
      </c>
      <c r="D26" s="58">
        <v>5</v>
      </c>
      <c r="E26" s="59">
        <v>858358</v>
      </c>
      <c r="F26" s="25">
        <f>E26*D26</f>
        <v>4291790</v>
      </c>
      <c r="G26" s="147">
        <f>SUM(F25:F26)</f>
        <v>11158654</v>
      </c>
    </row>
    <row r="27" spans="1:7" ht="43.5" customHeight="1" x14ac:dyDescent="0.25">
      <c r="A27" s="60" t="s">
        <v>121</v>
      </c>
      <c r="B27" s="135" t="s">
        <v>122</v>
      </c>
      <c r="C27" s="57" t="s">
        <v>123</v>
      </c>
      <c r="D27" s="58">
        <v>3</v>
      </c>
      <c r="E27" s="59">
        <v>858358</v>
      </c>
      <c r="F27" s="25">
        <f>E27*D27</f>
        <v>2575074</v>
      </c>
      <c r="G27" s="147">
        <f>F27</f>
        <v>2575074</v>
      </c>
    </row>
    <row r="28" spans="1:7" ht="65.25" customHeight="1" x14ac:dyDescent="0.25">
      <c r="A28" s="60" t="s">
        <v>124</v>
      </c>
      <c r="B28" s="135" t="s">
        <v>125</v>
      </c>
      <c r="C28" s="57" t="s">
        <v>126</v>
      </c>
      <c r="D28" s="58">
        <v>8</v>
      </c>
      <c r="E28" s="59">
        <v>858358</v>
      </c>
      <c r="F28" s="25">
        <f>E28*D28</f>
        <v>6866864</v>
      </c>
      <c r="G28" s="147">
        <f>F28</f>
        <v>6866864</v>
      </c>
    </row>
    <row r="29" spans="1:7" ht="55.5" customHeight="1" x14ac:dyDescent="0.25">
      <c r="A29" s="60" t="s">
        <v>127</v>
      </c>
      <c r="B29" s="135" t="s">
        <v>128</v>
      </c>
      <c r="C29" s="57" t="s">
        <v>129</v>
      </c>
      <c r="D29" s="58">
        <v>5</v>
      </c>
      <c r="E29" s="59">
        <v>858358</v>
      </c>
      <c r="F29" s="25">
        <f>E29*D29</f>
        <v>4291790</v>
      </c>
      <c r="G29" s="147">
        <f>F29</f>
        <v>4291790</v>
      </c>
    </row>
    <row r="30" spans="1:7" ht="44.25" customHeight="1" x14ac:dyDescent="0.25">
      <c r="A30" s="60" t="s">
        <v>130</v>
      </c>
      <c r="B30" s="135" t="s">
        <v>131</v>
      </c>
      <c r="C30" s="57" t="s">
        <v>132</v>
      </c>
      <c r="D30" s="58">
        <v>3</v>
      </c>
      <c r="E30" s="59">
        <v>858358</v>
      </c>
      <c r="F30" s="25">
        <f>E30*D30</f>
        <v>2575074</v>
      </c>
      <c r="G30" s="147">
        <f>F30</f>
        <v>2575074</v>
      </c>
    </row>
    <row r="31" spans="1:7" ht="15.75" customHeight="1" x14ac:dyDescent="0.25">
      <c r="B31" s="67"/>
      <c r="C31" s="68"/>
      <c r="D31" s="69"/>
      <c r="E31" s="70"/>
      <c r="F31" s="70"/>
    </row>
    <row r="32" spans="1:7" ht="15.75" customHeight="1" x14ac:dyDescent="0.25">
      <c r="A32" s="139" t="s">
        <v>200</v>
      </c>
      <c r="B32" s="67"/>
      <c r="C32" s="68"/>
      <c r="D32" s="142">
        <f>SUM(D3:D30)</f>
        <v>146</v>
      </c>
      <c r="E32" s="143">
        <f>SUM(E3:E30)</f>
        <v>24034024</v>
      </c>
      <c r="F32" s="143">
        <f>SUM(F3:F30)</f>
        <v>125320268</v>
      </c>
      <c r="G32" s="144">
        <f>SUM(G5:G30)</f>
        <v>125320268</v>
      </c>
    </row>
    <row r="33" spans="3:3" ht="15.75" customHeight="1" x14ac:dyDescent="0.25">
      <c r="C33" s="71"/>
    </row>
    <row r="34" spans="3:3" ht="15.75" customHeight="1" x14ac:dyDescent="0.25"/>
    <row r="35" spans="3:3" ht="15.75" customHeight="1" x14ac:dyDescent="0.25"/>
    <row r="36" spans="3:3" ht="15.75" customHeight="1" x14ac:dyDescent="0.25"/>
    <row r="37" spans="3:3" ht="15.75" customHeight="1" x14ac:dyDescent="0.25"/>
    <row r="38" spans="3:3" ht="15.75" customHeight="1" x14ac:dyDescent="0.25"/>
    <row r="39" spans="3:3" ht="15.75" customHeight="1" x14ac:dyDescent="0.25"/>
    <row r="40" spans="3:3" ht="15.75" customHeight="1" x14ac:dyDescent="0.25"/>
    <row r="41" spans="3:3" ht="15.75" customHeight="1" x14ac:dyDescent="0.25"/>
    <row r="42" spans="3:3" ht="15.75" customHeight="1" x14ac:dyDescent="0.25"/>
    <row r="43" spans="3:3" ht="15.75" customHeight="1" x14ac:dyDescent="0.25"/>
    <row r="44" spans="3:3" ht="15.75" customHeight="1" x14ac:dyDescent="0.25"/>
    <row r="45" spans="3:3" ht="15.75" customHeight="1" x14ac:dyDescent="0.25"/>
    <row r="46" spans="3:3" ht="15.75" customHeight="1" x14ac:dyDescent="0.25"/>
    <row r="47" spans="3:3" ht="15.75" customHeight="1" x14ac:dyDescent="0.25"/>
    <row r="48" spans="3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D1"/>
    <mergeCell ref="E1:G1"/>
  </mergeCells>
  <pageMargins left="0.70833333333333304" right="0.70833333333333304" top="0.74791666666666701" bottom="0.7479166666666670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997"/>
  <sheetViews>
    <sheetView zoomScale="94" zoomScaleNormal="94" workbookViewId="0">
      <selection activeCell="F39" sqref="F39"/>
    </sheetView>
  </sheetViews>
  <sheetFormatPr baseColWidth="10" defaultColWidth="14.42578125" defaultRowHeight="15" x14ac:dyDescent="0.25"/>
  <cols>
    <col min="1" max="1" width="53.42578125" customWidth="1"/>
    <col min="2" max="2" width="24.7109375" customWidth="1"/>
    <col min="3" max="3" width="12.28515625" customWidth="1"/>
    <col min="4" max="4" width="13.7109375" customWidth="1"/>
    <col min="5" max="5" width="17.42578125" customWidth="1"/>
    <col min="6" max="6" width="13.7109375" customWidth="1"/>
    <col min="7" max="7" width="10.7109375" customWidth="1"/>
    <col min="8" max="8" width="16.28515625" customWidth="1"/>
    <col min="9" max="26" width="10.7109375" customWidth="1"/>
  </cols>
  <sheetData>
    <row r="2" spans="1:11" ht="14.25" customHeight="1" x14ac:dyDescent="0.25">
      <c r="A2" s="72" t="s">
        <v>133</v>
      </c>
      <c r="B2" s="73">
        <v>0.02</v>
      </c>
      <c r="C2" s="74"/>
      <c r="D2" s="74"/>
      <c r="E2" s="75"/>
      <c r="F2" s="75"/>
      <c r="G2" s="75"/>
      <c r="H2" s="75"/>
    </row>
    <row r="3" spans="1:11" ht="14.25" customHeight="1" x14ac:dyDescent="0.25">
      <c r="A3" s="72" t="s">
        <v>134</v>
      </c>
      <c r="B3" s="76">
        <v>4</v>
      </c>
      <c r="C3" s="75"/>
      <c r="D3" s="75"/>
      <c r="E3" s="75"/>
      <c r="F3" s="75"/>
      <c r="G3" s="75"/>
      <c r="H3" s="75"/>
    </row>
    <row r="4" spans="1:11" ht="14.25" customHeight="1" x14ac:dyDescent="0.25">
      <c r="A4" s="72" t="s">
        <v>135</v>
      </c>
      <c r="B4" s="73">
        <v>0.05</v>
      </c>
      <c r="C4" s="75"/>
      <c r="D4" s="75"/>
      <c r="E4" s="75"/>
      <c r="F4" s="75"/>
      <c r="G4" s="75"/>
      <c r="H4" s="75"/>
    </row>
    <row r="5" spans="1:11" ht="14.25" customHeight="1" x14ac:dyDescent="0.25">
      <c r="A5" s="72" t="s">
        <v>136</v>
      </c>
      <c r="B5" s="76">
        <v>16</v>
      </c>
      <c r="C5" s="75"/>
      <c r="D5" s="75"/>
      <c r="E5" s="75"/>
      <c r="F5" s="75"/>
      <c r="G5" s="75"/>
      <c r="H5" s="75"/>
    </row>
    <row r="6" spans="1:11" ht="14.25" customHeight="1" x14ac:dyDescent="0.25">
      <c r="A6" s="75"/>
      <c r="B6" s="75"/>
      <c r="C6" s="75"/>
      <c r="D6" s="75"/>
      <c r="E6" s="75"/>
      <c r="F6" s="75"/>
      <c r="G6" s="75"/>
      <c r="H6" s="75"/>
    </row>
    <row r="7" spans="1:11" ht="14.25" customHeight="1" x14ac:dyDescent="0.25">
      <c r="A7" s="3" t="s">
        <v>137</v>
      </c>
      <c r="B7" s="3"/>
      <c r="C7" s="3"/>
      <c r="D7" s="3"/>
      <c r="E7" s="3"/>
      <c r="F7" s="3"/>
      <c r="G7" s="3"/>
      <c r="H7" s="3"/>
    </row>
    <row r="8" spans="1:11" ht="14.25" customHeight="1" x14ac:dyDescent="0.25">
      <c r="A8" s="2" t="s">
        <v>138</v>
      </c>
      <c r="B8" s="2"/>
      <c r="C8" s="2"/>
      <c r="D8" s="2"/>
      <c r="E8" s="2"/>
      <c r="F8" s="2"/>
      <c r="G8" s="2"/>
      <c r="H8" s="2"/>
    </row>
    <row r="9" spans="1:11" ht="25.5" customHeight="1" x14ac:dyDescent="0.25">
      <c r="A9" s="77" t="s">
        <v>139</v>
      </c>
      <c r="B9" s="78" t="s">
        <v>140</v>
      </c>
      <c r="C9" s="78" t="s">
        <v>141</v>
      </c>
      <c r="D9" s="78" t="s">
        <v>142</v>
      </c>
      <c r="E9" s="78" t="s">
        <v>143</v>
      </c>
      <c r="F9" s="78" t="s">
        <v>144</v>
      </c>
      <c r="G9" s="79" t="s">
        <v>145</v>
      </c>
      <c r="H9" s="80" t="s">
        <v>146</v>
      </c>
    </row>
    <row r="10" spans="1:11" ht="14.25" customHeight="1" x14ac:dyDescent="0.25">
      <c r="A10" s="81" t="s">
        <v>28</v>
      </c>
      <c r="B10" s="82">
        <v>2</v>
      </c>
      <c r="C10" s="83">
        <v>4500000</v>
      </c>
      <c r="D10" s="84">
        <v>100000</v>
      </c>
      <c r="E10" s="85">
        <f>(C10+D10)*0.52</f>
        <v>2392000</v>
      </c>
      <c r="F10" s="85">
        <f>(C10+E10+D10)*(1+$B$2)</f>
        <v>7131840</v>
      </c>
      <c r="G10" s="86">
        <f>F10/$B$5</f>
        <v>445740</v>
      </c>
      <c r="H10" s="87">
        <f>F10*B10</f>
        <v>14263680</v>
      </c>
    </row>
    <row r="11" spans="1:11" ht="14.25" customHeight="1" x14ac:dyDescent="0.25">
      <c r="A11" s="81" t="s">
        <v>78</v>
      </c>
      <c r="B11" s="82">
        <v>1</v>
      </c>
      <c r="C11" s="83">
        <v>7500000</v>
      </c>
      <c r="D11" s="84">
        <v>70000</v>
      </c>
      <c r="E11" s="85">
        <f>(C11+D11)*0.52</f>
        <v>3936400</v>
      </c>
      <c r="F11" s="85">
        <f>(C11+E11+D11)*(1+$B$2)</f>
        <v>11736528</v>
      </c>
      <c r="G11" s="86">
        <f>F11/$B$5</f>
        <v>733533</v>
      </c>
      <c r="H11" s="87">
        <f>F11*B11</f>
        <v>11736528</v>
      </c>
      <c r="I11" s="59"/>
    </row>
    <row r="12" spans="1:11" ht="14.25" customHeight="1" x14ac:dyDescent="0.25">
      <c r="A12" s="81" t="s">
        <v>23</v>
      </c>
      <c r="B12" s="82">
        <v>3</v>
      </c>
      <c r="C12" s="83">
        <v>4500000</v>
      </c>
      <c r="D12" s="84">
        <v>60000</v>
      </c>
      <c r="E12" s="85">
        <f>(C12+D12)*0.52</f>
        <v>2371200</v>
      </c>
      <c r="F12" s="85">
        <f>(C12+E12+D12)*(1+$B$2)</f>
        <v>7069824</v>
      </c>
      <c r="G12" s="86">
        <f>F12/$B$5</f>
        <v>441864</v>
      </c>
      <c r="H12" s="87">
        <f>F12*B12</f>
        <v>21209472</v>
      </c>
      <c r="K12" s="88"/>
    </row>
    <row r="13" spans="1:11" ht="14.25" customHeight="1" x14ac:dyDescent="0.25">
      <c r="A13" s="81"/>
      <c r="B13" s="82"/>
      <c r="C13" s="83"/>
      <c r="D13" s="84"/>
      <c r="E13" s="85"/>
      <c r="F13" s="85"/>
      <c r="G13" s="86"/>
      <c r="H13" s="87"/>
    </row>
    <row r="14" spans="1:11" ht="14.25" customHeight="1" x14ac:dyDescent="0.25">
      <c r="A14" s="81"/>
      <c r="B14" s="89"/>
      <c r="C14" s="83"/>
      <c r="D14" s="84"/>
      <c r="E14" s="85"/>
      <c r="F14" s="85"/>
      <c r="G14" s="86"/>
      <c r="H14" s="87"/>
    </row>
    <row r="15" spans="1:11" ht="14.25" customHeight="1" x14ac:dyDescent="0.25">
      <c r="A15" s="81"/>
      <c r="B15" s="89"/>
      <c r="C15" s="83"/>
      <c r="D15" s="84"/>
      <c r="E15" s="85"/>
      <c r="F15" s="85"/>
      <c r="G15" s="86"/>
      <c r="H15" s="87"/>
    </row>
    <row r="16" spans="1:11" ht="14.25" customHeight="1" x14ac:dyDescent="0.25">
      <c r="A16" s="81"/>
      <c r="B16" s="82"/>
      <c r="C16" s="83"/>
      <c r="D16" s="84"/>
      <c r="E16" s="85"/>
      <c r="F16" s="85"/>
      <c r="G16" s="86"/>
      <c r="H16" s="87"/>
    </row>
    <row r="17" spans="1:8" ht="14.25" customHeight="1" x14ac:dyDescent="0.25">
      <c r="A17" s="81"/>
      <c r="B17" s="82"/>
      <c r="C17" s="83"/>
      <c r="D17" s="84"/>
      <c r="E17" s="85"/>
      <c r="F17" s="85"/>
      <c r="G17" s="86"/>
      <c r="H17" s="87"/>
    </row>
    <row r="18" spans="1:8" ht="14.25" customHeight="1" x14ac:dyDescent="0.25">
      <c r="A18" s="81"/>
      <c r="B18" s="82"/>
      <c r="C18" s="83"/>
      <c r="D18" s="84"/>
      <c r="E18" s="85"/>
      <c r="F18" s="85"/>
      <c r="G18" s="86"/>
      <c r="H18" s="87"/>
    </row>
    <row r="19" spans="1:8" ht="14.25" customHeight="1" x14ac:dyDescent="0.25">
      <c r="A19" s="90"/>
      <c r="B19" s="82"/>
      <c r="C19" s="91"/>
      <c r="D19" s="91" t="s">
        <v>116</v>
      </c>
      <c r="E19" s="85"/>
      <c r="F19" s="85"/>
      <c r="G19" s="86"/>
      <c r="H19" s="87"/>
    </row>
    <row r="20" spans="1:8" ht="14.25" customHeight="1" x14ac:dyDescent="0.25">
      <c r="A20" s="90"/>
      <c r="B20" s="82"/>
      <c r="C20" s="91"/>
      <c r="D20" s="91"/>
      <c r="E20" s="85"/>
      <c r="F20" s="85"/>
      <c r="G20" s="86"/>
      <c r="H20" s="87"/>
    </row>
    <row r="21" spans="1:8" ht="15.75" customHeight="1" x14ac:dyDescent="0.25">
      <c r="A21" s="90"/>
      <c r="B21" s="82"/>
      <c r="C21" s="91"/>
      <c r="D21" s="91"/>
      <c r="E21" s="85"/>
      <c r="F21" s="85"/>
      <c r="G21" s="86"/>
      <c r="H21" s="87"/>
    </row>
    <row r="22" spans="1:8" ht="15.75" customHeight="1" x14ac:dyDescent="0.25">
      <c r="A22" s="90"/>
      <c r="B22" s="92"/>
      <c r="C22" s="85"/>
      <c r="D22" s="85"/>
      <c r="E22" s="85"/>
      <c r="F22" s="85"/>
      <c r="G22" s="86"/>
      <c r="H22" s="87"/>
    </row>
    <row r="23" spans="1:8" ht="15.75" customHeight="1" x14ac:dyDescent="0.25">
      <c r="A23" s="93"/>
      <c r="B23" s="92"/>
      <c r="C23" s="85"/>
      <c r="D23" s="85"/>
      <c r="E23" s="85"/>
      <c r="F23" s="85"/>
      <c r="G23" s="86"/>
      <c r="H23" s="87"/>
    </row>
    <row r="24" spans="1:8" ht="15.75" customHeight="1" x14ac:dyDescent="0.25">
      <c r="A24" s="93"/>
      <c r="B24" s="92"/>
      <c r="C24" s="85"/>
      <c r="D24" s="85"/>
      <c r="E24" s="85"/>
      <c r="F24" s="85"/>
      <c r="G24" s="86"/>
      <c r="H24" s="87"/>
    </row>
    <row r="25" spans="1:8" ht="15.75" customHeight="1" x14ac:dyDescent="0.25">
      <c r="A25" s="93"/>
      <c r="B25" s="92"/>
      <c r="C25" s="85"/>
      <c r="D25" s="85"/>
      <c r="E25" s="85"/>
      <c r="F25" s="85"/>
      <c r="G25" s="86"/>
      <c r="H25" s="87"/>
    </row>
    <row r="26" spans="1:8" ht="15.75" customHeight="1" x14ac:dyDescent="0.25">
      <c r="A26" s="93"/>
      <c r="B26" s="92"/>
      <c r="C26" s="85"/>
      <c r="D26" s="85"/>
      <c r="E26" s="85"/>
      <c r="F26" s="85"/>
      <c r="G26" s="86"/>
      <c r="H26" s="87"/>
    </row>
    <row r="27" spans="1:8" ht="15.75" customHeight="1" x14ac:dyDescent="0.25">
      <c r="A27" s="93"/>
      <c r="B27" s="92"/>
      <c r="C27" s="85"/>
      <c r="D27" s="85"/>
      <c r="E27" s="85"/>
      <c r="F27" s="85"/>
      <c r="G27" s="86"/>
      <c r="H27" s="87"/>
    </row>
    <row r="28" spans="1:8" ht="15.75" customHeight="1" x14ac:dyDescent="0.25">
      <c r="A28" s="94" t="s">
        <v>147</v>
      </c>
      <c r="B28" s="95">
        <f>SUM(B10:B27)</f>
        <v>6</v>
      </c>
      <c r="C28" s="96"/>
      <c r="D28" s="96"/>
      <c r="E28" s="97"/>
      <c r="F28" s="98" t="s">
        <v>148</v>
      </c>
      <c r="G28" s="99"/>
      <c r="H28" s="100">
        <f>SUM(H10:H27)</f>
        <v>47209680</v>
      </c>
    </row>
    <row r="29" spans="1:8" ht="15.75" customHeight="1" x14ac:dyDescent="0.25">
      <c r="A29" s="75"/>
      <c r="B29" s="75"/>
      <c r="C29" s="75"/>
      <c r="D29" s="75"/>
      <c r="E29" s="101" t="s">
        <v>149</v>
      </c>
      <c r="F29" s="98"/>
      <c r="G29" s="76"/>
      <c r="H29" s="100">
        <f>H28*B3</f>
        <v>188838720</v>
      </c>
    </row>
    <row r="30" spans="1:8" ht="15.75" customHeight="1" x14ac:dyDescent="0.25">
      <c r="A30" s="75"/>
      <c r="B30" s="75"/>
      <c r="C30" s="75"/>
      <c r="D30" s="75"/>
      <c r="E30" s="75"/>
      <c r="F30" s="75"/>
      <c r="G30" s="75"/>
      <c r="H30" s="75"/>
    </row>
    <row r="31" spans="1:8" ht="15.75" customHeight="1" x14ac:dyDescent="0.25">
      <c r="A31" s="75"/>
      <c r="B31" s="75"/>
      <c r="C31" s="75"/>
      <c r="D31" s="75"/>
      <c r="E31" s="75"/>
      <c r="F31" s="75"/>
      <c r="G31" s="75"/>
      <c r="H31" s="75"/>
    </row>
    <row r="32" spans="1:8" ht="15.75" customHeight="1" x14ac:dyDescent="0.25">
      <c r="A32" s="75"/>
      <c r="B32" s="75"/>
      <c r="C32" s="75"/>
      <c r="D32" s="75"/>
      <c r="E32" s="75"/>
      <c r="F32" s="75"/>
      <c r="G32" s="75"/>
      <c r="H32" s="75"/>
    </row>
    <row r="33" spans="1:8" ht="15.75" customHeight="1" x14ac:dyDescent="0.25">
      <c r="A33" s="1" t="s">
        <v>150</v>
      </c>
      <c r="B33" s="1"/>
      <c r="C33" s="1"/>
      <c r="D33" s="1"/>
      <c r="E33" s="1"/>
      <c r="F33" s="75"/>
      <c r="G33" s="75"/>
      <c r="H33" s="75"/>
    </row>
    <row r="34" spans="1:8" ht="34.5" customHeight="1" x14ac:dyDescent="0.25">
      <c r="A34" s="102" t="s">
        <v>151</v>
      </c>
      <c r="B34" s="103" t="s">
        <v>152</v>
      </c>
      <c r="C34" s="104" t="s">
        <v>140</v>
      </c>
      <c r="D34" s="103" t="s">
        <v>153</v>
      </c>
      <c r="E34" s="103" t="s">
        <v>154</v>
      </c>
      <c r="F34" s="75"/>
      <c r="G34" s="75"/>
      <c r="H34" s="75"/>
    </row>
    <row r="35" spans="1:8" ht="15.75" customHeight="1" x14ac:dyDescent="0.25">
      <c r="A35" s="93" t="s">
        <v>155</v>
      </c>
      <c r="B35" s="105" t="s">
        <v>156</v>
      </c>
      <c r="C35" s="105">
        <v>4</v>
      </c>
      <c r="D35" s="105">
        <v>42000</v>
      </c>
      <c r="E35" s="106">
        <f t="shared" ref="E35:E48" si="0">C35*D35</f>
        <v>168000</v>
      </c>
      <c r="F35" s="75"/>
      <c r="G35" s="75"/>
      <c r="H35" s="75"/>
    </row>
    <row r="36" spans="1:8" ht="15.75" customHeight="1" x14ac:dyDescent="0.25">
      <c r="A36" t="s">
        <v>157</v>
      </c>
      <c r="B36" s="105" t="s">
        <v>156</v>
      </c>
      <c r="C36" s="106">
        <v>4</v>
      </c>
      <c r="D36" s="106">
        <v>215000</v>
      </c>
      <c r="E36" s="106">
        <f t="shared" si="0"/>
        <v>860000</v>
      </c>
      <c r="F36" s="75"/>
      <c r="G36" s="75"/>
      <c r="H36" s="75"/>
    </row>
    <row r="37" spans="1:8" ht="15.75" customHeight="1" x14ac:dyDescent="0.25">
      <c r="A37" t="s">
        <v>158</v>
      </c>
      <c r="B37" s="105" t="s">
        <v>156</v>
      </c>
      <c r="C37" s="105">
        <v>4</v>
      </c>
      <c r="D37" s="105">
        <v>85000</v>
      </c>
      <c r="E37" s="106">
        <f t="shared" si="0"/>
        <v>340000</v>
      </c>
      <c r="F37" s="75"/>
      <c r="G37" s="75"/>
      <c r="H37" s="75"/>
    </row>
    <row r="38" spans="1:8" ht="15.75" customHeight="1" x14ac:dyDescent="0.25">
      <c r="A38" t="s">
        <v>159</v>
      </c>
      <c r="B38" s="105" t="s">
        <v>156</v>
      </c>
      <c r="C38" s="96">
        <v>4</v>
      </c>
      <c r="D38" s="105">
        <v>85000</v>
      </c>
      <c r="E38" s="106">
        <f t="shared" si="0"/>
        <v>340000</v>
      </c>
      <c r="F38" s="75"/>
      <c r="G38" s="75"/>
      <c r="H38" s="75"/>
    </row>
    <row r="39" spans="1:8" ht="15.75" customHeight="1" x14ac:dyDescent="0.25">
      <c r="A39" s="107"/>
      <c r="B39" s="105" t="s">
        <v>116</v>
      </c>
      <c r="C39" s="105"/>
      <c r="D39" s="105"/>
      <c r="E39" s="106">
        <f t="shared" si="0"/>
        <v>0</v>
      </c>
      <c r="F39" s="75"/>
      <c r="G39" s="75"/>
      <c r="H39" s="75"/>
    </row>
    <row r="40" spans="1:8" ht="15.75" customHeight="1" x14ac:dyDescent="0.25">
      <c r="A40" s="93"/>
      <c r="B40" s="105" t="s">
        <v>116</v>
      </c>
      <c r="C40" s="105"/>
      <c r="D40" s="105"/>
      <c r="E40" s="106">
        <f t="shared" si="0"/>
        <v>0</v>
      </c>
      <c r="F40" s="75"/>
      <c r="G40" s="75"/>
      <c r="H40" s="75"/>
    </row>
    <row r="41" spans="1:8" ht="15.75" customHeight="1" x14ac:dyDescent="0.25">
      <c r="A41" s="93"/>
      <c r="B41" s="105" t="s">
        <v>116</v>
      </c>
      <c r="C41" s="108"/>
      <c r="D41" s="105"/>
      <c r="E41" s="106">
        <f t="shared" si="0"/>
        <v>0</v>
      </c>
      <c r="F41" s="75"/>
      <c r="G41" s="75"/>
      <c r="H41" s="75"/>
    </row>
    <row r="42" spans="1:8" ht="15.75" customHeight="1" x14ac:dyDescent="0.25">
      <c r="A42" s="107"/>
      <c r="B42" s="105" t="s">
        <v>116</v>
      </c>
      <c r="C42" s="105"/>
      <c r="D42" s="105"/>
      <c r="E42" s="106">
        <f t="shared" si="0"/>
        <v>0</v>
      </c>
      <c r="F42" s="75"/>
      <c r="G42" s="75"/>
      <c r="H42" s="75"/>
    </row>
    <row r="43" spans="1:8" ht="15.75" customHeight="1" x14ac:dyDescent="0.25">
      <c r="A43" s="107"/>
      <c r="B43" s="105" t="s">
        <v>116</v>
      </c>
      <c r="C43" s="108"/>
      <c r="D43" s="105"/>
      <c r="E43" s="106">
        <f t="shared" si="0"/>
        <v>0</v>
      </c>
      <c r="F43" s="75"/>
      <c r="G43" s="75"/>
      <c r="H43" s="75"/>
    </row>
    <row r="44" spans="1:8" ht="15.75" customHeight="1" x14ac:dyDescent="0.25">
      <c r="A44" s="107"/>
      <c r="B44" s="105" t="s">
        <v>116</v>
      </c>
      <c r="C44" s="105"/>
      <c r="D44" s="105"/>
      <c r="E44" s="106">
        <f t="shared" si="0"/>
        <v>0</v>
      </c>
      <c r="F44" s="75"/>
      <c r="G44" s="75"/>
      <c r="H44" s="75"/>
    </row>
    <row r="45" spans="1:8" ht="15.75" customHeight="1" x14ac:dyDescent="0.25">
      <c r="A45" s="107"/>
      <c r="B45" s="105" t="s">
        <v>116</v>
      </c>
      <c r="C45" s="105"/>
      <c r="D45" s="105"/>
      <c r="E45" s="106">
        <f t="shared" si="0"/>
        <v>0</v>
      </c>
      <c r="F45" s="75"/>
      <c r="G45" s="75"/>
      <c r="H45" s="75"/>
    </row>
    <row r="46" spans="1:8" ht="15.75" customHeight="1" x14ac:dyDescent="0.25">
      <c r="A46" s="107"/>
      <c r="B46" s="105" t="s">
        <v>116</v>
      </c>
      <c r="C46" s="105"/>
      <c r="D46" s="105"/>
      <c r="E46" s="106">
        <f t="shared" si="0"/>
        <v>0</v>
      </c>
      <c r="F46" s="75"/>
      <c r="G46" s="75"/>
      <c r="H46" s="75"/>
    </row>
    <row r="47" spans="1:8" ht="15.75" customHeight="1" x14ac:dyDescent="0.25">
      <c r="A47" s="107"/>
      <c r="B47" s="105" t="s">
        <v>116</v>
      </c>
      <c r="C47" s="105"/>
      <c r="D47" s="105"/>
      <c r="E47" s="106">
        <f t="shared" si="0"/>
        <v>0</v>
      </c>
      <c r="F47" s="75"/>
      <c r="G47" s="75"/>
      <c r="H47" s="75"/>
    </row>
    <row r="48" spans="1:8" ht="15.75" customHeight="1" x14ac:dyDescent="0.25">
      <c r="A48" s="107"/>
      <c r="B48" s="105" t="s">
        <v>116</v>
      </c>
      <c r="C48" s="96"/>
      <c r="D48" s="96"/>
      <c r="E48" s="106">
        <f t="shared" si="0"/>
        <v>0</v>
      </c>
      <c r="F48" s="75"/>
      <c r="G48" s="75"/>
      <c r="H48" s="75"/>
    </row>
    <row r="49" spans="1:8" ht="15.75" customHeight="1" x14ac:dyDescent="0.25">
      <c r="A49" s="109"/>
      <c r="B49" s="110"/>
      <c r="C49" s="110"/>
      <c r="D49" s="111" t="s">
        <v>160</v>
      </c>
      <c r="E49" s="112">
        <f>SUM(E35:E48)</f>
        <v>1708000</v>
      </c>
      <c r="F49" s="75"/>
      <c r="G49" s="75"/>
      <c r="H49" s="75"/>
    </row>
    <row r="50" spans="1:8" ht="15.75" customHeight="1" x14ac:dyDescent="0.25">
      <c r="A50" s="75"/>
      <c r="B50" s="75"/>
      <c r="C50" s="75"/>
      <c r="D50" s="75"/>
      <c r="E50" s="75"/>
      <c r="F50" s="75"/>
      <c r="G50" s="75"/>
      <c r="H50" s="75"/>
    </row>
    <row r="51" spans="1:8" ht="7.5" customHeight="1" x14ac:dyDescent="0.25">
      <c r="A51" s="75"/>
      <c r="B51" s="75"/>
      <c r="C51" s="75"/>
      <c r="D51" s="75"/>
      <c r="E51" s="75"/>
      <c r="F51" s="75"/>
      <c r="G51" s="75"/>
      <c r="H51" s="75"/>
    </row>
    <row r="52" spans="1:8" ht="15.75" customHeight="1" x14ac:dyDescent="0.25">
      <c r="C52" s="75"/>
      <c r="D52" s="75"/>
      <c r="E52" s="75"/>
      <c r="F52" s="75"/>
      <c r="G52" s="75"/>
      <c r="H52" s="75"/>
    </row>
    <row r="53" spans="1:8" ht="15.75" customHeight="1" x14ac:dyDescent="0.25">
      <c r="A53" s="113" t="s">
        <v>161</v>
      </c>
      <c r="B53" s="113" t="s">
        <v>162</v>
      </c>
      <c r="C53" s="75"/>
      <c r="D53" s="75"/>
      <c r="E53" s="75"/>
      <c r="F53" s="75"/>
      <c r="G53" s="75"/>
      <c r="H53" s="75"/>
    </row>
    <row r="54" spans="1:8" ht="15.75" customHeight="1" x14ac:dyDescent="0.25">
      <c r="A54" s="114" t="s">
        <v>163</v>
      </c>
      <c r="B54" s="115">
        <f>SUM(G10:G12)</f>
        <v>1621137</v>
      </c>
      <c r="C54" s="75"/>
      <c r="D54" s="75"/>
      <c r="E54" s="75"/>
      <c r="F54" s="75"/>
      <c r="G54" s="75"/>
      <c r="H54" s="75"/>
    </row>
    <row r="55" spans="1:8" ht="15.75" customHeight="1" x14ac:dyDescent="0.25">
      <c r="A55" s="21"/>
      <c r="B55" s="21" t="s">
        <v>164</v>
      </c>
      <c r="C55" s="75"/>
      <c r="D55" s="75"/>
      <c r="E55" s="75"/>
      <c r="F55" s="75"/>
      <c r="G55" s="75"/>
      <c r="H55" s="75"/>
    </row>
    <row r="56" spans="1:8" ht="15.75" customHeight="1" x14ac:dyDescent="0.25">
      <c r="A56" s="21"/>
      <c r="B56" s="21" t="s">
        <v>164</v>
      </c>
      <c r="C56" s="75"/>
      <c r="D56" s="75"/>
      <c r="E56" s="75"/>
      <c r="F56" s="75"/>
      <c r="G56" s="75"/>
      <c r="H56" s="75"/>
    </row>
    <row r="57" spans="1:8" ht="15.75" customHeight="1" x14ac:dyDescent="0.25">
      <c r="A57" s="21"/>
      <c r="B57" s="21" t="s">
        <v>164</v>
      </c>
      <c r="C57" s="75"/>
      <c r="D57" s="75"/>
      <c r="E57" s="75"/>
      <c r="F57" s="75"/>
      <c r="G57" s="75"/>
      <c r="H57" s="75"/>
    </row>
    <row r="58" spans="1:8" ht="15.75" customHeight="1" x14ac:dyDescent="0.25">
      <c r="A58" s="21"/>
      <c r="B58" s="21" t="s">
        <v>164</v>
      </c>
      <c r="C58" s="75"/>
      <c r="D58" s="75"/>
      <c r="E58" s="75"/>
      <c r="F58" s="75"/>
      <c r="G58" s="75"/>
      <c r="H58" s="75"/>
    </row>
    <row r="59" spans="1:8" ht="15.75" customHeight="1" x14ac:dyDescent="0.25">
      <c r="A59" s="21"/>
      <c r="B59" s="21" t="s">
        <v>164</v>
      </c>
      <c r="C59" s="75"/>
      <c r="D59" s="75"/>
      <c r="E59" s="75"/>
      <c r="F59" s="75"/>
      <c r="G59" s="75"/>
      <c r="H59" s="75"/>
    </row>
    <row r="60" spans="1:8" ht="15.75" customHeight="1" x14ac:dyDescent="0.25">
      <c r="A60" s="21"/>
      <c r="B60" s="21" t="s">
        <v>164</v>
      </c>
      <c r="C60" s="75"/>
      <c r="D60" s="75"/>
      <c r="E60" s="75"/>
      <c r="F60" s="75"/>
      <c r="G60" s="75"/>
      <c r="H60" s="75"/>
    </row>
    <row r="61" spans="1:8" ht="15.75" customHeight="1" x14ac:dyDescent="0.25">
      <c r="A61" s="21"/>
      <c r="B61" s="21" t="s">
        <v>164</v>
      </c>
      <c r="C61" s="75"/>
      <c r="D61" s="75"/>
      <c r="E61" s="75"/>
      <c r="F61" s="75"/>
      <c r="G61" s="75"/>
      <c r="H61" s="75"/>
    </row>
    <row r="62" spans="1:8" ht="15.75" customHeight="1" x14ac:dyDescent="0.25">
      <c r="A62" s="116" t="s">
        <v>165</v>
      </c>
      <c r="B62" s="116">
        <f>SUM(B54:B61)</f>
        <v>1621137</v>
      </c>
      <c r="C62" s="75"/>
      <c r="D62" s="75"/>
      <c r="E62" s="75"/>
      <c r="F62" s="75"/>
      <c r="G62" s="75"/>
      <c r="H62" s="75"/>
    </row>
    <row r="63" spans="1:8" ht="15.75" customHeight="1" x14ac:dyDescent="0.25">
      <c r="C63" s="75"/>
      <c r="D63" s="75"/>
      <c r="E63" s="75"/>
      <c r="F63" s="75"/>
      <c r="G63" s="75"/>
      <c r="H63" s="75"/>
    </row>
    <row r="64" spans="1:8" ht="15.75" customHeight="1" x14ac:dyDescent="0.25">
      <c r="A64" s="117" t="s">
        <v>166</v>
      </c>
      <c r="B64" s="118">
        <f>H29</f>
        <v>188838720</v>
      </c>
      <c r="C64" s="75"/>
      <c r="D64" s="75"/>
      <c r="E64" s="75"/>
      <c r="F64" s="75"/>
      <c r="G64" s="75"/>
      <c r="H64" s="75"/>
    </row>
    <row r="65" spans="1:8" ht="15.75" customHeight="1" x14ac:dyDescent="0.25">
      <c r="A65" s="117" t="s">
        <v>150</v>
      </c>
      <c r="B65" s="119">
        <f>E49</f>
        <v>1708000</v>
      </c>
      <c r="C65" s="75"/>
      <c r="D65" s="75"/>
      <c r="E65" s="75"/>
      <c r="F65" s="75"/>
      <c r="G65" s="75"/>
      <c r="H65" s="75"/>
    </row>
    <row r="66" spans="1:8" ht="15.75" customHeight="1" x14ac:dyDescent="0.25">
      <c r="A66" s="120" t="s">
        <v>167</v>
      </c>
      <c r="B66" s="121">
        <f>B62</f>
        <v>1621137</v>
      </c>
      <c r="C66" s="75"/>
      <c r="D66" s="75"/>
      <c r="E66" s="75"/>
      <c r="F66" s="75"/>
      <c r="G66" s="75"/>
      <c r="H66" s="75"/>
    </row>
    <row r="67" spans="1:8" ht="15.75" customHeight="1" x14ac:dyDescent="0.25">
      <c r="A67" s="122" t="s">
        <v>168</v>
      </c>
      <c r="B67" s="123">
        <f>(B64+B65+B66)*B4</f>
        <v>9608392.8499999996</v>
      </c>
      <c r="C67" s="75"/>
      <c r="D67" s="75"/>
      <c r="E67" s="75"/>
      <c r="F67" s="75"/>
      <c r="G67" s="75"/>
      <c r="H67" s="75"/>
    </row>
    <row r="68" spans="1:8" ht="15.75" customHeight="1" x14ac:dyDescent="0.25">
      <c r="A68" s="124" t="s">
        <v>169</v>
      </c>
      <c r="B68" s="125">
        <f>(B64+B65+B66)*0.1</f>
        <v>19216785.699999999</v>
      </c>
      <c r="C68" s="75"/>
      <c r="D68" s="75"/>
      <c r="E68" s="75"/>
      <c r="F68" s="75"/>
      <c r="G68" s="75"/>
      <c r="H68" s="75"/>
    </row>
    <row r="69" spans="1:8" ht="15.75" customHeight="1" x14ac:dyDescent="0.25">
      <c r="A69" s="126" t="s">
        <v>170</v>
      </c>
      <c r="B69" s="127">
        <f>SUM(B64:B67)</f>
        <v>201776249.84999999</v>
      </c>
      <c r="C69" s="75"/>
      <c r="D69" s="75"/>
      <c r="E69" s="75"/>
      <c r="F69" s="75"/>
      <c r="G69" s="75"/>
      <c r="H69" s="75"/>
    </row>
    <row r="70" spans="1:8" ht="15.75" customHeight="1" x14ac:dyDescent="0.25"/>
    <row r="71" spans="1:8" ht="15.75" customHeight="1" x14ac:dyDescent="0.25"/>
    <row r="72" spans="1:8" ht="15.75" customHeight="1" x14ac:dyDescent="0.25"/>
    <row r="73" spans="1:8" ht="15.75" customHeight="1" x14ac:dyDescent="0.25"/>
    <row r="74" spans="1:8" ht="15.75" customHeight="1" x14ac:dyDescent="0.25"/>
    <row r="75" spans="1:8" ht="15.75" customHeight="1" x14ac:dyDescent="0.25"/>
    <row r="76" spans="1:8" ht="15.75" customHeight="1" x14ac:dyDescent="0.25"/>
    <row r="77" spans="1:8" ht="15.75" customHeight="1" x14ac:dyDescent="0.25"/>
    <row r="78" spans="1:8" ht="15.75" customHeight="1" x14ac:dyDescent="0.25"/>
    <row r="79" spans="1:8" ht="15.75" customHeight="1" x14ac:dyDescent="0.25"/>
    <row r="80" spans="1:8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">
    <mergeCell ref="A7:H7"/>
    <mergeCell ref="A8:H8"/>
    <mergeCell ref="A33:E33"/>
  </mergeCells>
  <dataValidations count="1">
    <dataValidation type="list" allowBlank="1" showErrorMessage="1" sqref="B35:B48" xr:uid="{00000000-0002-0000-0200-000000000000}">
      <formula1>"Directo,Indirecto"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002"/>
  <sheetViews>
    <sheetView topLeftCell="A3" zoomScaleNormal="100" workbookViewId="0">
      <selection activeCell="C8" sqref="C8"/>
    </sheetView>
  </sheetViews>
  <sheetFormatPr baseColWidth="10" defaultColWidth="14.42578125" defaultRowHeight="15" x14ac:dyDescent="0.25"/>
  <cols>
    <col min="1" max="1" width="31.7109375" customWidth="1"/>
    <col min="3" max="3" width="18.85546875" customWidth="1"/>
    <col min="4" max="5" width="10.7109375" customWidth="1"/>
    <col min="6" max="6" width="22" customWidth="1"/>
    <col min="7" max="26" width="10.7109375" customWidth="1"/>
  </cols>
  <sheetData>
    <row r="2" spans="1:8" ht="14.25" customHeight="1" x14ac:dyDescent="0.25">
      <c r="F2" s="26" t="s">
        <v>171</v>
      </c>
    </row>
    <row r="3" spans="1:8" ht="14.25" customHeight="1" x14ac:dyDescent="0.25">
      <c r="A3" s="66"/>
      <c r="B3" s="66"/>
      <c r="C3" s="66"/>
      <c r="F3" s="66" t="s">
        <v>172</v>
      </c>
      <c r="G3" s="66">
        <v>1750905</v>
      </c>
    </row>
    <row r="4" spans="1:8" ht="14.25" customHeight="1" x14ac:dyDescent="0.25">
      <c r="F4" s="66" t="s">
        <v>173</v>
      </c>
      <c r="G4" s="66">
        <v>249095</v>
      </c>
      <c r="H4" s="66" t="s">
        <v>174</v>
      </c>
    </row>
    <row r="5" spans="1:8" ht="14.25" customHeight="1" x14ac:dyDescent="0.25">
      <c r="A5" s="8" t="s">
        <v>175</v>
      </c>
      <c r="B5" s="8"/>
      <c r="C5" s="8"/>
    </row>
    <row r="6" spans="1:8" ht="14.25" customHeight="1" x14ac:dyDescent="0.25">
      <c r="A6" s="128" t="s">
        <v>176</v>
      </c>
      <c r="B6" s="128" t="s">
        <v>177</v>
      </c>
      <c r="C6" s="128" t="s">
        <v>178</v>
      </c>
    </row>
    <row r="7" spans="1:8" ht="14.25" customHeight="1" x14ac:dyDescent="0.25">
      <c r="A7" s="129" t="s">
        <v>179</v>
      </c>
      <c r="B7" s="21"/>
      <c r="C7" s="23">
        <v>16</v>
      </c>
    </row>
    <row r="8" spans="1:8" ht="14.25" customHeight="1" x14ac:dyDescent="0.25">
      <c r="A8" s="129" t="s">
        <v>180</v>
      </c>
      <c r="B8" s="21"/>
      <c r="C8" s="23">
        <v>2600000</v>
      </c>
    </row>
    <row r="9" spans="1:8" ht="14.25" customHeight="1" x14ac:dyDescent="0.25">
      <c r="A9" s="129" t="s">
        <v>173</v>
      </c>
      <c r="B9" s="130" t="s">
        <v>116</v>
      </c>
      <c r="C9" s="23">
        <v>0</v>
      </c>
    </row>
    <row r="10" spans="1:8" ht="14.25" customHeight="1" x14ac:dyDescent="0.25">
      <c r="A10" s="129" t="s">
        <v>181</v>
      </c>
      <c r="B10" s="21"/>
      <c r="C10" s="23">
        <f>SUM(C8:C9)</f>
        <v>2600000</v>
      </c>
    </row>
    <row r="11" spans="1:8" ht="14.25" customHeight="1" x14ac:dyDescent="0.25">
      <c r="A11" s="129"/>
      <c r="B11" s="21"/>
      <c r="C11" s="23"/>
    </row>
    <row r="12" spans="1:8" ht="14.25" customHeight="1" x14ac:dyDescent="0.25">
      <c r="A12" s="129" t="s">
        <v>182</v>
      </c>
      <c r="B12" s="131">
        <v>8.3299999999999999E-2</v>
      </c>
      <c r="C12" s="23">
        <f>C$8*B12</f>
        <v>216580</v>
      </c>
    </row>
    <row r="13" spans="1:8" ht="14.25" customHeight="1" x14ac:dyDescent="0.25">
      <c r="A13" s="129" t="s">
        <v>183</v>
      </c>
      <c r="B13" s="131">
        <v>8.3299999999999999E-2</v>
      </c>
      <c r="C13" s="23">
        <f>C$8*B13</f>
        <v>216580</v>
      </c>
    </row>
    <row r="14" spans="1:8" ht="14.25" customHeight="1" x14ac:dyDescent="0.25">
      <c r="A14" s="129" t="s">
        <v>184</v>
      </c>
      <c r="B14" s="131">
        <v>1.1999999999999999E-3</v>
      </c>
      <c r="C14" s="23">
        <f>C$8*B14</f>
        <v>3119.9999999999995</v>
      </c>
    </row>
    <row r="15" spans="1:8" ht="14.25" customHeight="1" x14ac:dyDescent="0.25">
      <c r="A15" s="129" t="s">
        <v>185</v>
      </c>
      <c r="B15" s="130">
        <v>4.1669999999999999E-2</v>
      </c>
      <c r="C15" s="23">
        <f>C$8*B15</f>
        <v>108342</v>
      </c>
    </row>
    <row r="16" spans="1:8" ht="14.25" customHeight="1" x14ac:dyDescent="0.25">
      <c r="A16" s="129"/>
      <c r="B16" s="21"/>
      <c r="C16" s="23"/>
    </row>
    <row r="17" spans="1:3" ht="14.25" customHeight="1" x14ac:dyDescent="0.25">
      <c r="A17" s="129" t="s">
        <v>186</v>
      </c>
      <c r="B17" s="130">
        <f>SUM(B12:B15)</f>
        <v>0.20946999999999999</v>
      </c>
      <c r="C17" s="23">
        <f>SUM(C12:C16)</f>
        <v>544622</v>
      </c>
    </row>
    <row r="18" spans="1:3" ht="14.25" customHeight="1" x14ac:dyDescent="0.25">
      <c r="A18" s="129"/>
      <c r="B18" s="21"/>
      <c r="C18" s="23"/>
    </row>
    <row r="19" spans="1:3" ht="14.25" customHeight="1" x14ac:dyDescent="0.25">
      <c r="A19" s="129" t="s">
        <v>187</v>
      </c>
      <c r="B19" s="131">
        <v>8.5000000000000006E-2</v>
      </c>
      <c r="C19" s="23">
        <f>C$8*B19</f>
        <v>221000.00000000003</v>
      </c>
    </row>
    <row r="20" spans="1:3" ht="14.25" customHeight="1" x14ac:dyDescent="0.25">
      <c r="A20" s="129" t="s">
        <v>188</v>
      </c>
      <c r="B20" s="131">
        <v>0.12</v>
      </c>
      <c r="C20" s="23">
        <f>C$8*B20</f>
        <v>312000</v>
      </c>
    </row>
    <row r="21" spans="1:3" ht="15.75" customHeight="1" x14ac:dyDescent="0.25">
      <c r="A21" s="129" t="s">
        <v>189</v>
      </c>
      <c r="B21" s="131">
        <v>0.09</v>
      </c>
      <c r="C21" s="23">
        <f>C$8*B21</f>
        <v>234000</v>
      </c>
    </row>
    <row r="22" spans="1:3" ht="15.75" customHeight="1" x14ac:dyDescent="0.25">
      <c r="A22" s="129" t="s">
        <v>190</v>
      </c>
      <c r="B22" s="131">
        <v>5.2199999999999998E-3</v>
      </c>
      <c r="C22" s="23">
        <f>C$8*B22</f>
        <v>13572</v>
      </c>
    </row>
    <row r="23" spans="1:3" ht="15.75" customHeight="1" x14ac:dyDescent="0.25">
      <c r="A23" s="129"/>
      <c r="B23" s="21"/>
      <c r="C23" s="21"/>
    </row>
    <row r="24" spans="1:3" ht="15.75" customHeight="1" x14ac:dyDescent="0.25">
      <c r="A24" s="129" t="s">
        <v>191</v>
      </c>
      <c r="B24" s="131">
        <f>SUM(B19:B23)</f>
        <v>0.30022000000000004</v>
      </c>
      <c r="C24" s="23">
        <f>SUM(C19:C23)</f>
        <v>780572</v>
      </c>
    </row>
    <row r="25" spans="1:3" ht="15.75" customHeight="1" x14ac:dyDescent="0.25">
      <c r="A25" s="129"/>
      <c r="B25" s="21"/>
      <c r="C25" s="21"/>
    </row>
    <row r="26" spans="1:3" ht="15.75" customHeight="1" x14ac:dyDescent="0.25">
      <c r="A26" s="129" t="s">
        <v>192</v>
      </c>
      <c r="B26" s="21"/>
      <c r="C26" s="132">
        <f>C10+C17+C24</f>
        <v>3925194</v>
      </c>
    </row>
    <row r="27" spans="1:3" ht="15.75" customHeight="1" x14ac:dyDescent="0.25">
      <c r="A27" s="129" t="s">
        <v>193</v>
      </c>
      <c r="B27" s="21"/>
      <c r="C27" s="132">
        <f>C26*12</f>
        <v>47102328</v>
      </c>
    </row>
    <row r="28" spans="1:3" ht="15.75" customHeight="1" x14ac:dyDescent="0.25">
      <c r="A28" s="129" t="s">
        <v>194</v>
      </c>
      <c r="B28" s="21"/>
      <c r="C28" s="132">
        <f>C26/C7</f>
        <v>245324.625</v>
      </c>
    </row>
    <row r="29" spans="1:3" ht="15.75" customHeight="1" x14ac:dyDescent="0.25">
      <c r="A29" s="66"/>
      <c r="B29" s="66"/>
      <c r="C29" s="66"/>
    </row>
    <row r="30" spans="1:3" ht="15.75" customHeight="1" x14ac:dyDescent="0.25">
      <c r="A30" s="66"/>
      <c r="B30" s="66"/>
      <c r="C30" s="66"/>
    </row>
    <row r="31" spans="1:3" ht="15.75" customHeight="1" x14ac:dyDescent="0.25">
      <c r="A31" s="26"/>
      <c r="B31" s="133"/>
      <c r="C31" s="66"/>
    </row>
    <row r="32" spans="1:3" ht="15.75" customHeight="1" x14ac:dyDescent="0.25">
      <c r="A32" s="26"/>
      <c r="B32" s="133"/>
      <c r="C32" s="66"/>
    </row>
    <row r="33" spans="1:3" ht="15.75" customHeight="1" x14ac:dyDescent="0.25">
      <c r="A33" s="134" t="s">
        <v>195</v>
      </c>
      <c r="B33" s="23">
        <v>146</v>
      </c>
      <c r="C33" s="66"/>
    </row>
    <row r="34" spans="1:3" ht="15.75" customHeight="1" x14ac:dyDescent="0.25">
      <c r="A34" s="134" t="s">
        <v>196</v>
      </c>
      <c r="B34" s="23">
        <v>55</v>
      </c>
      <c r="C34" s="66"/>
    </row>
    <row r="35" spans="1:3" ht="15.75" customHeight="1" x14ac:dyDescent="0.25">
      <c r="A35" s="134" t="s">
        <v>197</v>
      </c>
      <c r="B35" s="23">
        <f>Presupuesto!H28</f>
        <v>47209680</v>
      </c>
    </row>
    <row r="36" spans="1:3" ht="15.75" customHeight="1" x14ac:dyDescent="0.25">
      <c r="A36" s="134" t="s">
        <v>198</v>
      </c>
      <c r="B36" s="23">
        <f>B35/B34</f>
        <v>858357.81818181823</v>
      </c>
    </row>
    <row r="37" spans="1:3" ht="15.75" customHeight="1" x14ac:dyDescent="0.25">
      <c r="A37" s="134" t="s">
        <v>199</v>
      </c>
      <c r="B37" s="23">
        <f>B33*B36</f>
        <v>125320241.45454547</v>
      </c>
    </row>
    <row r="38" spans="1:3" ht="15.75" customHeight="1" x14ac:dyDescent="0.25">
      <c r="C38" s="59"/>
    </row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">
    <mergeCell ref="A5:C5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Estimar CostosxHora</vt:lpstr>
      <vt:lpstr>Estimar por puntos de historia</vt:lpstr>
      <vt:lpstr>Presupuesto</vt:lpstr>
      <vt:lpstr>costo por recurso o punto de H</vt:lpstr>
      <vt:lpstr>suma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HANNA ISABELLA VALENCIA RIASCOS</cp:lastModifiedBy>
  <cp:revision>0</cp:revision>
  <dcterms:created xsi:type="dcterms:W3CDTF">2008-07-30T16:49:19Z</dcterms:created>
  <dcterms:modified xsi:type="dcterms:W3CDTF">2026-05-30T22:57:15Z</dcterms:modified>
  <dc:language>en-US</dc:language>
</cp:coreProperties>
</file>